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j\siryo\"/>
    </mc:Choice>
  </mc:AlternateContent>
  <xr:revisionPtr revIDLastSave="0" documentId="11_E360DAFBCCCEA4315A3F750D37A50B666FBBA747" xr6:coauthVersionLast="47" xr6:coauthVersionMax="47" xr10:uidLastSave="{00000000-0000-0000-0000-000000000000}"/>
  <bookViews>
    <workbookView xWindow="345" yWindow="4005" windowWidth="21600" windowHeight="11295" tabRatio="546" firstSheet="2" activeTab="7" xr2:uid="{00000000-000D-0000-FFFF-FFFF00000000}"/>
  </bookViews>
  <sheets>
    <sheet name="サマリー（入力禁止）" sheetId="1" r:id="rId1"/>
    <sheet name="数字丸め" sheetId="2" r:id="rId2"/>
    <sheet name="第一" sheetId="3" r:id="rId3"/>
    <sheet name="第一開発" sheetId="4" r:id="rId4"/>
    <sheet name="第ニ" sheetId="5" r:id="rId5"/>
    <sheet name="第ニ (CO)" sheetId="6" r:id="rId6"/>
    <sheet name="アプ開発" sheetId="7" r:id="rId7"/>
    <sheet name="シス基盤" sheetId="8" r:id="rId8"/>
    <sheet name="区分" sheetId="9" r:id="rId9"/>
  </sheets>
  <definedNames>
    <definedName name="_xlnm.Print_Area" localSheetId="6">アプ開発!$A$1:$K$35</definedName>
    <definedName name="_xlnm.Print_Area" localSheetId="0">'サマリー（入力禁止）'!$A$1:$Y$98</definedName>
    <definedName name="_xlnm.Print_Area" localSheetId="7">シス基盤!$A$1:$K$37</definedName>
    <definedName name="_xlnm.Print_Area" localSheetId="1">数字丸め!$A$35:$T$52</definedName>
    <definedName name="_xlnm.Print_Area" localSheetId="2">第一!$A$1:$K$40</definedName>
    <definedName name="_xlnm.Print_Area" localSheetId="3">第一開発!$A$1:$K$40</definedName>
  </definedNames>
  <calcPr calcId="191029"/>
</workbook>
</file>

<file path=xl/calcChain.xml><?xml version="1.0" encoding="utf-8"?>
<calcChain xmlns="http://schemas.openxmlformats.org/spreadsheetml/2006/main">
  <c r="E14" i="9" l="1"/>
  <c r="F14" i="9" s="1"/>
  <c r="AA44" i="7"/>
  <c r="AA42" i="7"/>
  <c r="AA41" i="7"/>
  <c r="AA43" i="7" s="1"/>
  <c r="AA45" i="7" s="1"/>
  <c r="E34" i="7"/>
  <c r="E35" i="7" s="1"/>
  <c r="J33" i="7"/>
  <c r="G33" i="7"/>
  <c r="K33" i="7" s="1"/>
  <c r="I30" i="7"/>
  <c r="H30" i="7"/>
  <c r="H34" i="7" s="1"/>
  <c r="F30" i="7"/>
  <c r="F34" i="7" s="1"/>
  <c r="F35" i="7" s="1"/>
  <c r="E30" i="7"/>
  <c r="I29" i="7"/>
  <c r="H29" i="7"/>
  <c r="F29" i="7"/>
  <c r="E29" i="7"/>
  <c r="J28" i="7"/>
  <c r="G28" i="7"/>
  <c r="K28" i="7" s="1"/>
  <c r="N27" i="7"/>
  <c r="N28" i="7" s="1"/>
  <c r="N29" i="7" s="1"/>
  <c r="J27" i="7"/>
  <c r="G27" i="7"/>
  <c r="J26" i="7"/>
  <c r="G26" i="7"/>
  <c r="K26" i="7" s="1"/>
  <c r="K25" i="7"/>
  <c r="J25" i="7"/>
  <c r="G25" i="7"/>
  <c r="G29" i="7" s="1"/>
  <c r="I23" i="7"/>
  <c r="H23" i="7"/>
  <c r="G23" i="7"/>
  <c r="F23" i="7"/>
  <c r="E23" i="7"/>
  <c r="AB22" i="7"/>
  <c r="J22" i="7"/>
  <c r="G22" i="7"/>
  <c r="K22" i="7" s="1"/>
  <c r="Z21" i="7"/>
  <c r="X21" i="7"/>
  <c r="U21" i="7"/>
  <c r="S21" i="7"/>
  <c r="R21" i="7"/>
  <c r="P21" i="7"/>
  <c r="O21" i="7"/>
  <c r="J21" i="7"/>
  <c r="G21" i="7"/>
  <c r="K21" i="7" s="1"/>
  <c r="AA20" i="7"/>
  <c r="J20" i="7"/>
  <c r="G20" i="7"/>
  <c r="K20" i="7" s="1"/>
  <c r="Z19" i="7"/>
  <c r="Y19" i="7"/>
  <c r="Y21" i="7" s="1"/>
  <c r="X19" i="7"/>
  <c r="W19" i="7"/>
  <c r="W21" i="7" s="1"/>
  <c r="V19" i="7"/>
  <c r="V21" i="7" s="1"/>
  <c r="U19" i="7"/>
  <c r="T19" i="7"/>
  <c r="T21" i="7" s="1"/>
  <c r="AA21" i="7" s="1"/>
  <c r="AC22" i="7" s="1"/>
  <c r="AC23" i="7" s="1"/>
  <c r="S19" i="7"/>
  <c r="R19" i="7"/>
  <c r="Q19" i="7"/>
  <c r="Q21" i="7" s="1"/>
  <c r="J19" i="7"/>
  <c r="G19" i="7"/>
  <c r="J17" i="7"/>
  <c r="G17" i="7"/>
  <c r="G30" i="7" s="1"/>
  <c r="J16" i="7"/>
  <c r="G16" i="7"/>
  <c r="K16" i="7" s="1"/>
  <c r="K15" i="7"/>
  <c r="J15" i="7"/>
  <c r="G15" i="7"/>
  <c r="Z14" i="7"/>
  <c r="Y14" i="7"/>
  <c r="X14" i="7"/>
  <c r="W14" i="7"/>
  <c r="V14" i="7"/>
  <c r="U14" i="7"/>
  <c r="T14" i="7"/>
  <c r="S14" i="7"/>
  <c r="AA14" i="7" s="1"/>
  <c r="R14" i="7"/>
  <c r="Q14" i="7"/>
  <c r="P14" i="7"/>
  <c r="O14" i="7"/>
  <c r="I14" i="7"/>
  <c r="H14" i="7"/>
  <c r="J14" i="7" s="1"/>
  <c r="K14" i="7" s="1"/>
  <c r="G14" i="7"/>
  <c r="AA13" i="7"/>
  <c r="I13" i="7"/>
  <c r="H13" i="7"/>
  <c r="F13" i="7"/>
  <c r="G13" i="7" s="1"/>
  <c r="E13" i="7"/>
  <c r="AA12" i="7"/>
  <c r="I12" i="7"/>
  <c r="H12" i="7"/>
  <c r="J12" i="7" s="1"/>
  <c r="F12" i="7"/>
  <c r="G12" i="7" s="1"/>
  <c r="E12" i="7"/>
  <c r="AA11" i="7"/>
  <c r="I10" i="7"/>
  <c r="H10" i="7"/>
  <c r="F10" i="7"/>
  <c r="E10" i="7"/>
  <c r="J9" i="7"/>
  <c r="G9" i="7"/>
  <c r="K9" i="7" s="1"/>
  <c r="Z8" i="7"/>
  <c r="J8" i="7"/>
  <c r="K8" i="7" s="1"/>
  <c r="G8" i="7"/>
  <c r="Z7" i="7"/>
  <c r="J7" i="7"/>
  <c r="J10" i="7" s="1"/>
  <c r="G7" i="7"/>
  <c r="K7" i="7" s="1"/>
  <c r="Z6" i="7"/>
  <c r="K6" i="7"/>
  <c r="J6" i="7"/>
  <c r="G6" i="7"/>
  <c r="Z5" i="7"/>
  <c r="Z4" i="7"/>
  <c r="AA7" i="7" s="1"/>
  <c r="AA8" i="7" s="1"/>
  <c r="I29" i="6"/>
  <c r="I33" i="6" s="1"/>
  <c r="I34" i="6" s="1"/>
  <c r="H29" i="6"/>
  <c r="H33" i="6" s="1"/>
  <c r="H34" i="6" s="1"/>
  <c r="F29" i="6"/>
  <c r="I10" i="6"/>
  <c r="H10" i="6"/>
  <c r="J10" i="6" s="1"/>
  <c r="F10" i="6"/>
  <c r="E10" i="6"/>
  <c r="E29" i="6" s="1"/>
  <c r="J7" i="6"/>
  <c r="K7" i="6" s="1"/>
  <c r="G7" i="6"/>
  <c r="J6" i="6"/>
  <c r="G6" i="6"/>
  <c r="K6" i="6" s="1"/>
  <c r="H29" i="5"/>
  <c r="H33" i="5" s="1"/>
  <c r="H34" i="5" s="1"/>
  <c r="F29" i="5"/>
  <c r="F33" i="5" s="1"/>
  <c r="F34" i="5" s="1"/>
  <c r="J10" i="5"/>
  <c r="J29" i="5" s="1"/>
  <c r="J33" i="5" s="1"/>
  <c r="J34" i="5" s="1"/>
  <c r="I10" i="5"/>
  <c r="I29" i="5" s="1"/>
  <c r="G39" i="2" s="1"/>
  <c r="H10" i="5"/>
  <c r="G10" i="5"/>
  <c r="G29" i="5" s="1"/>
  <c r="G33" i="5" s="1"/>
  <c r="G34" i="5" s="1"/>
  <c r="F10" i="5"/>
  <c r="E10" i="5"/>
  <c r="E29" i="5" s="1"/>
  <c r="C39" i="2" s="1"/>
  <c r="E39" i="2" s="1"/>
  <c r="J8" i="5"/>
  <c r="K8" i="5" s="1"/>
  <c r="K10" i="5" s="1"/>
  <c r="K29" i="5" s="1"/>
  <c r="K33" i="5" s="1"/>
  <c r="K34" i="5" s="1"/>
  <c r="J38" i="4"/>
  <c r="G38" i="4"/>
  <c r="K38" i="4" s="1"/>
  <c r="I34" i="4"/>
  <c r="H34" i="4"/>
  <c r="F34" i="4"/>
  <c r="E34" i="4"/>
  <c r="K33" i="4"/>
  <c r="J33" i="4"/>
  <c r="G33" i="4"/>
  <c r="J32" i="4"/>
  <c r="K32" i="4" s="1"/>
  <c r="G32" i="4"/>
  <c r="J31" i="4"/>
  <c r="G31" i="4"/>
  <c r="K31" i="4" s="1"/>
  <c r="J30" i="4"/>
  <c r="J34" i="4" s="1"/>
  <c r="G30" i="4"/>
  <c r="K28" i="4"/>
  <c r="J28" i="4"/>
  <c r="I28" i="4"/>
  <c r="H28" i="4"/>
  <c r="G28" i="4"/>
  <c r="F28" i="4"/>
  <c r="E28" i="4"/>
  <c r="I18" i="4"/>
  <c r="H18" i="4"/>
  <c r="F18" i="4"/>
  <c r="E18" i="4"/>
  <c r="J17" i="4"/>
  <c r="G17" i="4"/>
  <c r="K17" i="4" s="1"/>
  <c r="J16" i="4"/>
  <c r="G16" i="4"/>
  <c r="K16" i="4" s="1"/>
  <c r="J15" i="4"/>
  <c r="G15" i="4"/>
  <c r="J14" i="4"/>
  <c r="J18" i="4" s="1"/>
  <c r="G14" i="4"/>
  <c r="K14" i="4" s="1"/>
  <c r="I12" i="4"/>
  <c r="I35" i="4" s="1"/>
  <c r="H12" i="4"/>
  <c r="F12" i="4"/>
  <c r="E12" i="4"/>
  <c r="E35" i="4" s="1"/>
  <c r="J11" i="4"/>
  <c r="G11" i="4"/>
  <c r="K11" i="4" s="1"/>
  <c r="J10" i="4"/>
  <c r="K10" i="4" s="1"/>
  <c r="G10" i="4"/>
  <c r="J8" i="4"/>
  <c r="G8" i="4"/>
  <c r="K8" i="4" s="1"/>
  <c r="J7" i="4"/>
  <c r="G7" i="4"/>
  <c r="K7" i="4" s="1"/>
  <c r="J6" i="4"/>
  <c r="J12" i="4" s="1"/>
  <c r="G6" i="4"/>
  <c r="K38" i="3"/>
  <c r="J38" i="3"/>
  <c r="G38" i="3"/>
  <c r="I34" i="3"/>
  <c r="H34" i="3"/>
  <c r="F34" i="3"/>
  <c r="E34" i="3"/>
  <c r="J33" i="3"/>
  <c r="G33" i="3"/>
  <c r="K33" i="3" s="1"/>
  <c r="J32" i="3"/>
  <c r="G32" i="3"/>
  <c r="K32" i="3" s="1"/>
  <c r="K31" i="3"/>
  <c r="K34" i="3" s="1"/>
  <c r="J31" i="3"/>
  <c r="G31" i="3"/>
  <c r="K30" i="3"/>
  <c r="J30" i="3"/>
  <c r="J34" i="3" s="1"/>
  <c r="G30" i="3"/>
  <c r="I28" i="3"/>
  <c r="H28" i="3"/>
  <c r="F28" i="3"/>
  <c r="E28" i="3"/>
  <c r="J27" i="3"/>
  <c r="G27" i="3"/>
  <c r="K27" i="3" s="1"/>
  <c r="J26" i="3"/>
  <c r="K26" i="3" s="1"/>
  <c r="G26" i="3"/>
  <c r="K25" i="3"/>
  <c r="J25" i="3"/>
  <c r="G25" i="3"/>
  <c r="J24" i="3"/>
  <c r="G24" i="3"/>
  <c r="K24" i="3" s="1"/>
  <c r="J23" i="3"/>
  <c r="G23" i="3"/>
  <c r="K23" i="3" s="1"/>
  <c r="J22" i="3"/>
  <c r="G22" i="3"/>
  <c r="K22" i="3" s="1"/>
  <c r="J21" i="3"/>
  <c r="G21" i="3"/>
  <c r="K21" i="3" s="1"/>
  <c r="J20" i="3"/>
  <c r="J28" i="3" s="1"/>
  <c r="G20" i="3"/>
  <c r="K20" i="3" s="1"/>
  <c r="J19" i="3"/>
  <c r="G19" i="3"/>
  <c r="I17" i="3"/>
  <c r="H17" i="3"/>
  <c r="H35" i="3" s="1"/>
  <c r="F17" i="3"/>
  <c r="E17" i="3"/>
  <c r="K16" i="3"/>
  <c r="J16" i="3"/>
  <c r="G16" i="3"/>
  <c r="J15" i="3"/>
  <c r="G15" i="3"/>
  <c r="K15" i="3" s="1"/>
  <c r="J14" i="3"/>
  <c r="G14" i="3"/>
  <c r="K14" i="3" s="1"/>
  <c r="J13" i="3"/>
  <c r="J17" i="3" s="1"/>
  <c r="G13" i="3"/>
  <c r="G17" i="3" s="1"/>
  <c r="K11" i="3"/>
  <c r="J11" i="3"/>
  <c r="I11" i="3"/>
  <c r="H11" i="3"/>
  <c r="G11" i="3"/>
  <c r="F11" i="3"/>
  <c r="F35" i="3" s="1"/>
  <c r="E11" i="3"/>
  <c r="E35" i="3" s="1"/>
  <c r="C37" i="2" s="1"/>
  <c r="O52" i="2"/>
  <c r="P50" i="2"/>
  <c r="P47" i="2"/>
  <c r="L44" i="2"/>
  <c r="N43" i="2"/>
  <c r="L43" i="2"/>
  <c r="G43" i="2"/>
  <c r="F43" i="2"/>
  <c r="C43" i="2"/>
  <c r="R42" i="2"/>
  <c r="O42" i="2"/>
  <c r="N42" i="2"/>
  <c r="N47" i="2" s="1"/>
  <c r="M42" i="2"/>
  <c r="J42" i="2"/>
  <c r="K42" i="2" s="1"/>
  <c r="K41" i="2"/>
  <c r="L41" i="2" s="1"/>
  <c r="N41" i="2" s="1"/>
  <c r="K40" i="2"/>
  <c r="L40" i="2" s="1"/>
  <c r="N40" i="2" s="1"/>
  <c r="F40" i="2"/>
  <c r="E40" i="2"/>
  <c r="D40" i="2"/>
  <c r="C40" i="2"/>
  <c r="K39" i="2"/>
  <c r="L39" i="2" s="1"/>
  <c r="N39" i="2" s="1"/>
  <c r="F39" i="2"/>
  <c r="H39" i="2" s="1"/>
  <c r="I39" i="2" s="1"/>
  <c r="D39" i="2"/>
  <c r="P38" i="2"/>
  <c r="Q38" i="2" s="1"/>
  <c r="N38" i="2"/>
  <c r="K38" i="2"/>
  <c r="L38" i="2" s="1"/>
  <c r="K37" i="2"/>
  <c r="L37" i="2" s="1"/>
  <c r="N37" i="2" s="1"/>
  <c r="G12" i="2"/>
  <c r="F12" i="2"/>
  <c r="D12" i="2"/>
  <c r="C12" i="2"/>
  <c r="E12" i="2" s="1"/>
  <c r="G9" i="2"/>
  <c r="F9" i="2"/>
  <c r="H9" i="2" s="1"/>
  <c r="D9" i="2"/>
  <c r="C9" i="2"/>
  <c r="I94" i="1"/>
  <c r="H94" i="1"/>
  <c r="G94" i="1"/>
  <c r="E94" i="1"/>
  <c r="D94" i="1"/>
  <c r="F94" i="1" s="1"/>
  <c r="E78" i="1"/>
  <c r="H77" i="1"/>
  <c r="G19" i="2" s="1"/>
  <c r="G77" i="1"/>
  <c r="F19" i="2" s="1"/>
  <c r="H19" i="2" s="1"/>
  <c r="I19" i="2" s="1"/>
  <c r="E77" i="1"/>
  <c r="D19" i="2" s="1"/>
  <c r="D77" i="1"/>
  <c r="C19" i="2" s="1"/>
  <c r="E19" i="2" s="1"/>
  <c r="H76" i="1"/>
  <c r="G76" i="1"/>
  <c r="H75" i="1"/>
  <c r="G18" i="2" s="1"/>
  <c r="G75" i="1"/>
  <c r="F18" i="2" s="1"/>
  <c r="H18" i="2" s="1"/>
  <c r="F75" i="1"/>
  <c r="E75" i="1"/>
  <c r="D18" i="2" s="1"/>
  <c r="D75" i="1"/>
  <c r="C18" i="2" s="1"/>
  <c r="E18" i="2" s="1"/>
  <c r="I74" i="1"/>
  <c r="H74" i="1"/>
  <c r="H78" i="1" s="1"/>
  <c r="G74" i="1"/>
  <c r="G78" i="1" s="1"/>
  <c r="E74" i="1"/>
  <c r="D17" i="2" s="1"/>
  <c r="D29" i="2" s="1"/>
  <c r="D74" i="1"/>
  <c r="C17" i="2" s="1"/>
  <c r="G72" i="1"/>
  <c r="I71" i="1"/>
  <c r="H71" i="1"/>
  <c r="G16" i="2" s="1"/>
  <c r="G71" i="1"/>
  <c r="F16" i="2" s="1"/>
  <c r="F71" i="1"/>
  <c r="J71" i="1" s="1"/>
  <c r="E71" i="1"/>
  <c r="D16" i="2" s="1"/>
  <c r="D71" i="1"/>
  <c r="C16" i="2" s="1"/>
  <c r="E16" i="2" s="1"/>
  <c r="E70" i="1"/>
  <c r="H69" i="1"/>
  <c r="G15" i="2" s="1"/>
  <c r="G69" i="1"/>
  <c r="F15" i="2" s="1"/>
  <c r="H15" i="2" s="1"/>
  <c r="E69" i="1"/>
  <c r="D15" i="2" s="1"/>
  <c r="D69" i="1"/>
  <c r="C15" i="2" s="1"/>
  <c r="H68" i="1"/>
  <c r="G14" i="2" s="1"/>
  <c r="G68" i="1"/>
  <c r="F14" i="2" s="1"/>
  <c r="H14" i="2" s="1"/>
  <c r="F68" i="1"/>
  <c r="E68" i="1"/>
  <c r="D14" i="2" s="1"/>
  <c r="D28" i="2" s="1"/>
  <c r="D68" i="1"/>
  <c r="C14" i="2" s="1"/>
  <c r="E66" i="1"/>
  <c r="H65" i="1"/>
  <c r="H66" i="1" s="1"/>
  <c r="H67" i="1" s="1"/>
  <c r="G65" i="1"/>
  <c r="F13" i="2" s="1"/>
  <c r="E65" i="1"/>
  <c r="E96" i="1" s="1"/>
  <c r="D65" i="1"/>
  <c r="D96" i="1" s="1"/>
  <c r="H64" i="1"/>
  <c r="G64" i="1"/>
  <c r="I64" i="1" s="1"/>
  <c r="D64" i="1"/>
  <c r="I62" i="1"/>
  <c r="H62" i="1"/>
  <c r="G11" i="2" s="1"/>
  <c r="G62" i="1"/>
  <c r="F11" i="2" s="1"/>
  <c r="F62" i="1"/>
  <c r="J62" i="1" s="1"/>
  <c r="E62" i="1"/>
  <c r="E64" i="1" s="1"/>
  <c r="E67" i="1" s="1"/>
  <c r="D62" i="1"/>
  <c r="C11" i="2" s="1"/>
  <c r="H60" i="1"/>
  <c r="D60" i="1"/>
  <c r="H59" i="1"/>
  <c r="G10" i="2" s="1"/>
  <c r="G59" i="1"/>
  <c r="F10" i="2" s="1"/>
  <c r="H10" i="2" s="1"/>
  <c r="I10" i="2" s="1"/>
  <c r="E59" i="1"/>
  <c r="D10" i="2" s="1"/>
  <c r="D59" i="1"/>
  <c r="C10" i="2" s="1"/>
  <c r="E10" i="2" s="1"/>
  <c r="G58" i="1"/>
  <c r="I56" i="1"/>
  <c r="H56" i="1"/>
  <c r="G8" i="2" s="1"/>
  <c r="G27" i="2" s="1"/>
  <c r="G56" i="1"/>
  <c r="G60" i="1" s="1"/>
  <c r="I60" i="1" s="1"/>
  <c r="E56" i="1"/>
  <c r="D8" i="2" s="1"/>
  <c r="D27" i="2" s="1"/>
  <c r="D56" i="1"/>
  <c r="D58" i="1" s="1"/>
  <c r="H53" i="1"/>
  <c r="G7" i="2" s="1"/>
  <c r="G53" i="1"/>
  <c r="I53" i="1" s="1"/>
  <c r="F53" i="1"/>
  <c r="E53" i="1"/>
  <c r="E54" i="1" s="1"/>
  <c r="D53" i="1"/>
  <c r="C7" i="2" s="1"/>
  <c r="E52" i="1"/>
  <c r="E55" i="1" s="1"/>
  <c r="H51" i="1"/>
  <c r="G6" i="2" s="1"/>
  <c r="G51" i="1"/>
  <c r="F6" i="2" s="1"/>
  <c r="E51" i="1"/>
  <c r="D6" i="2" s="1"/>
  <c r="D51" i="1"/>
  <c r="F51" i="1" s="1"/>
  <c r="H50" i="1"/>
  <c r="G5" i="2" s="1"/>
  <c r="G50" i="1"/>
  <c r="F5" i="2" s="1"/>
  <c r="E50" i="1"/>
  <c r="D5" i="2" s="1"/>
  <c r="D50" i="1"/>
  <c r="F50" i="1" s="1"/>
  <c r="H47" i="1"/>
  <c r="H83" i="1" s="1"/>
  <c r="G47" i="1"/>
  <c r="F4" i="2" s="1"/>
  <c r="E47" i="1"/>
  <c r="D47" i="1"/>
  <c r="C4" i="2" s="1"/>
  <c r="G46" i="1"/>
  <c r="D46" i="1"/>
  <c r="J45" i="1"/>
  <c r="H45" i="1"/>
  <c r="G3" i="2" s="1"/>
  <c r="G45" i="1"/>
  <c r="I45" i="1" s="1"/>
  <c r="F45" i="1"/>
  <c r="E45" i="1"/>
  <c r="D3" i="2" s="1"/>
  <c r="D45" i="1"/>
  <c r="D81" i="1" s="1"/>
  <c r="I44" i="1"/>
  <c r="H44" i="1"/>
  <c r="H80" i="1" s="1"/>
  <c r="G44" i="1"/>
  <c r="F2" i="2" s="1"/>
  <c r="E44" i="1"/>
  <c r="D44" i="1"/>
  <c r="C2" i="2" s="1"/>
  <c r="R37" i="1"/>
  <c r="L37" i="1"/>
  <c r="R36" i="1"/>
  <c r="AG33" i="1"/>
  <c r="AF33" i="1"/>
  <c r="R33" i="1"/>
  <c r="AJ28" i="1"/>
  <c r="AG28" i="1"/>
  <c r="AI28" i="1" s="1"/>
  <c r="AF28" i="1"/>
  <c r="AC28" i="1"/>
  <c r="S28" i="1"/>
  <c r="R28" i="1"/>
  <c r="H27" i="1"/>
  <c r="H28" i="1" s="1"/>
  <c r="G27" i="1"/>
  <c r="F27" i="1"/>
  <c r="E27" i="1"/>
  <c r="D27" i="1"/>
  <c r="H26" i="1"/>
  <c r="G26" i="1"/>
  <c r="F26" i="1"/>
  <c r="E26" i="1"/>
  <c r="D26" i="1"/>
  <c r="I25" i="1"/>
  <c r="H25" i="1"/>
  <c r="G25" i="1"/>
  <c r="F25" i="1"/>
  <c r="E25" i="1"/>
  <c r="D25" i="1"/>
  <c r="I24" i="1"/>
  <c r="H24" i="1"/>
  <c r="G24" i="1"/>
  <c r="G28" i="1" s="1"/>
  <c r="E24" i="1"/>
  <c r="E28" i="1" s="1"/>
  <c r="D24" i="1"/>
  <c r="AG23" i="1"/>
  <c r="AF23" i="1"/>
  <c r="U23" i="1"/>
  <c r="S23" i="1"/>
  <c r="S37" i="1" s="1"/>
  <c r="T37" i="1" s="1"/>
  <c r="R23" i="1"/>
  <c r="J22" i="1"/>
  <c r="I22" i="1"/>
  <c r="H22" i="1"/>
  <c r="G22" i="1"/>
  <c r="F22" i="1"/>
  <c r="E22" i="1"/>
  <c r="D22" i="1"/>
  <c r="J21" i="1"/>
  <c r="I21" i="1"/>
  <c r="H21" i="1"/>
  <c r="G21" i="1"/>
  <c r="F21" i="1"/>
  <c r="E21" i="1"/>
  <c r="D21" i="1"/>
  <c r="J20" i="1"/>
  <c r="I20" i="1"/>
  <c r="I23" i="1" s="1"/>
  <c r="I37" i="1" s="1"/>
  <c r="H20" i="1"/>
  <c r="G20" i="1"/>
  <c r="F20" i="1"/>
  <c r="E20" i="1"/>
  <c r="D20" i="1"/>
  <c r="I19" i="1"/>
  <c r="H19" i="1"/>
  <c r="H23" i="1" s="1"/>
  <c r="H37" i="1" s="1"/>
  <c r="G19" i="1"/>
  <c r="E19" i="1"/>
  <c r="D19" i="1"/>
  <c r="D23" i="1" s="1"/>
  <c r="D37" i="1" s="1"/>
  <c r="AG18" i="1"/>
  <c r="AI18" i="1" s="1"/>
  <c r="AF18" i="1"/>
  <c r="AJ18" i="1" s="1"/>
  <c r="U18" i="1"/>
  <c r="T18" i="1"/>
  <c r="S18" i="1"/>
  <c r="R18" i="1"/>
  <c r="J17" i="1"/>
  <c r="I17" i="1"/>
  <c r="H17" i="1"/>
  <c r="G17" i="1"/>
  <c r="F17" i="1"/>
  <c r="E17" i="1"/>
  <c r="D17" i="1"/>
  <c r="J16" i="1"/>
  <c r="I16" i="1"/>
  <c r="H16" i="1"/>
  <c r="G16" i="1"/>
  <c r="F16" i="1"/>
  <c r="E16" i="1"/>
  <c r="D16" i="1"/>
  <c r="D18" i="1" s="1"/>
  <c r="J15" i="1"/>
  <c r="I15" i="1"/>
  <c r="I18" i="1" s="1"/>
  <c r="H15" i="1"/>
  <c r="G15" i="1"/>
  <c r="F15" i="1"/>
  <c r="E15" i="1"/>
  <c r="D15" i="1"/>
  <c r="J14" i="1"/>
  <c r="J18" i="1" s="1"/>
  <c r="I14" i="1"/>
  <c r="H14" i="1"/>
  <c r="G14" i="1"/>
  <c r="F14" i="1"/>
  <c r="E14" i="1"/>
  <c r="E18" i="1" s="1"/>
  <c r="D14" i="1"/>
  <c r="AJ13" i="1"/>
  <c r="AG13" i="1"/>
  <c r="AI13" i="1" s="1"/>
  <c r="AF13" i="1"/>
  <c r="I13" i="1"/>
  <c r="I12" i="1"/>
  <c r="H12" i="1"/>
  <c r="G12" i="1"/>
  <c r="E12" i="1"/>
  <c r="D12" i="1"/>
  <c r="J11" i="1"/>
  <c r="I11" i="1"/>
  <c r="H11" i="1"/>
  <c r="G11" i="1"/>
  <c r="F11" i="1"/>
  <c r="E11" i="1"/>
  <c r="D11" i="1"/>
  <c r="I10" i="1"/>
  <c r="H10" i="1"/>
  <c r="H13" i="1" s="1"/>
  <c r="G10" i="1"/>
  <c r="E10" i="1"/>
  <c r="D10" i="1"/>
  <c r="I9" i="1"/>
  <c r="H9" i="1"/>
  <c r="G9" i="1"/>
  <c r="G13" i="1" s="1"/>
  <c r="E9" i="1"/>
  <c r="E13" i="1" s="1"/>
  <c r="D9" i="1"/>
  <c r="D13" i="1" s="1"/>
  <c r="AJ8" i="1"/>
  <c r="AG8" i="1"/>
  <c r="AI8" i="1" s="1"/>
  <c r="AF8" i="1"/>
  <c r="AC8" i="1"/>
  <c r="U8" i="1"/>
  <c r="S8" i="1"/>
  <c r="R8" i="1"/>
  <c r="R35" i="1" s="1"/>
  <c r="L8" i="1"/>
  <c r="H7" i="1"/>
  <c r="G7" i="1"/>
  <c r="I7" i="1" s="1"/>
  <c r="E7" i="1"/>
  <c r="F7" i="1" s="1"/>
  <c r="J7" i="1" s="1"/>
  <c r="D7" i="1"/>
  <c r="H6" i="1"/>
  <c r="G6" i="1"/>
  <c r="I6" i="1" s="1"/>
  <c r="E6" i="1"/>
  <c r="D6" i="1"/>
  <c r="F6" i="1" s="1"/>
  <c r="J6" i="1" s="1"/>
  <c r="I5" i="1"/>
  <c r="H5" i="1"/>
  <c r="G5" i="1"/>
  <c r="F5" i="1"/>
  <c r="J5" i="1" s="1"/>
  <c r="E5" i="1"/>
  <c r="D5" i="1"/>
  <c r="D8" i="1" s="1"/>
  <c r="H4" i="1"/>
  <c r="H8" i="1" s="1"/>
  <c r="G4" i="1"/>
  <c r="I4" i="1" s="1"/>
  <c r="E4" i="1"/>
  <c r="E8" i="1" s="1"/>
  <c r="D4" i="1"/>
  <c r="F4" i="1" s="1"/>
  <c r="D47" i="8"/>
  <c r="E47" i="8" s="1"/>
  <c r="D46" i="8"/>
  <c r="E46" i="8" s="1"/>
  <c r="D45" i="8"/>
  <c r="D41" i="8"/>
  <c r="D42" i="8" s="1"/>
  <c r="J35" i="8"/>
  <c r="K35" i="8" s="1"/>
  <c r="S33" i="1" s="1"/>
  <c r="G35" i="8"/>
  <c r="I31" i="8"/>
  <c r="H32" i="1" s="1"/>
  <c r="H31" i="8"/>
  <c r="G32" i="1" s="1"/>
  <c r="F31" i="8"/>
  <c r="E32" i="1" s="1"/>
  <c r="E31" i="8"/>
  <c r="D32" i="1" s="1"/>
  <c r="K30" i="8"/>
  <c r="J30" i="8"/>
  <c r="G30" i="8"/>
  <c r="J29" i="8"/>
  <c r="G29" i="8"/>
  <c r="K29" i="8" s="1"/>
  <c r="J28" i="8"/>
  <c r="G28" i="8"/>
  <c r="K28" i="8" s="1"/>
  <c r="J27" i="8"/>
  <c r="J31" i="8" s="1"/>
  <c r="I32" i="1" s="1"/>
  <c r="G27" i="8"/>
  <c r="K27" i="8" s="1"/>
  <c r="K31" i="8" s="1"/>
  <c r="J32" i="1" s="1"/>
  <c r="I25" i="8"/>
  <c r="H31" i="1" s="1"/>
  <c r="H25" i="8"/>
  <c r="G31" i="1" s="1"/>
  <c r="F25" i="8"/>
  <c r="E31" i="1" s="1"/>
  <c r="E25" i="8"/>
  <c r="D31" i="1" s="1"/>
  <c r="J24" i="8"/>
  <c r="G24" i="8"/>
  <c r="K24" i="8" s="1"/>
  <c r="J23" i="8"/>
  <c r="G23" i="8"/>
  <c r="K23" i="8" s="1"/>
  <c r="J22" i="8"/>
  <c r="G22" i="8"/>
  <c r="K22" i="8" s="1"/>
  <c r="J21" i="8"/>
  <c r="J25" i="8" s="1"/>
  <c r="I31" i="1" s="1"/>
  <c r="G21" i="8"/>
  <c r="K21" i="8" s="1"/>
  <c r="I19" i="8"/>
  <c r="H30" i="1" s="1"/>
  <c r="H19" i="8"/>
  <c r="G30" i="1" s="1"/>
  <c r="F19" i="8"/>
  <c r="E30" i="1" s="1"/>
  <c r="E19" i="8"/>
  <c r="D30" i="1" s="1"/>
  <c r="J18" i="8"/>
  <c r="G18" i="8"/>
  <c r="K18" i="8" s="1"/>
  <c r="J17" i="8"/>
  <c r="G17" i="8"/>
  <c r="K17" i="8" s="1"/>
  <c r="J16" i="8"/>
  <c r="G16" i="8"/>
  <c r="G19" i="8" s="1"/>
  <c r="F30" i="1" s="1"/>
  <c r="J15" i="8"/>
  <c r="K15" i="8" s="1"/>
  <c r="G15" i="8"/>
  <c r="I13" i="8"/>
  <c r="H29" i="1" s="1"/>
  <c r="H13" i="8"/>
  <c r="G29" i="1" s="1"/>
  <c r="F13" i="8"/>
  <c r="E29" i="1" s="1"/>
  <c r="E33" i="1" s="1"/>
  <c r="E13" i="8"/>
  <c r="D29" i="1" s="1"/>
  <c r="J12" i="8"/>
  <c r="G12" i="8"/>
  <c r="K12" i="8" s="1"/>
  <c r="J11" i="8"/>
  <c r="K11" i="8" s="1"/>
  <c r="G11" i="8"/>
  <c r="J10" i="8"/>
  <c r="K10" i="8" s="1"/>
  <c r="G10" i="8"/>
  <c r="K9" i="8"/>
  <c r="J9" i="8"/>
  <c r="G9" i="8"/>
  <c r="K8" i="8"/>
  <c r="J8" i="8"/>
  <c r="G8" i="8"/>
  <c r="K7" i="8"/>
  <c r="J7" i="8"/>
  <c r="G7" i="8"/>
  <c r="J6" i="8"/>
  <c r="J13" i="8" s="1"/>
  <c r="G6" i="8"/>
  <c r="K6" i="8" s="1"/>
  <c r="F8" i="1" l="1"/>
  <c r="J4" i="1"/>
  <c r="J8" i="1" s="1"/>
  <c r="K13" i="8"/>
  <c r="I29" i="1"/>
  <c r="K25" i="8"/>
  <c r="J31" i="1" s="1"/>
  <c r="E36" i="1"/>
  <c r="I8" i="1"/>
  <c r="AK18" i="1"/>
  <c r="AL18" i="1" s="1"/>
  <c r="M18" i="1"/>
  <c r="R49" i="2" s="1"/>
  <c r="N18" i="1"/>
  <c r="U33" i="1"/>
  <c r="T33" i="1"/>
  <c r="D43" i="8"/>
  <c r="E43" i="8" s="1"/>
  <c r="E42" i="8"/>
  <c r="D35" i="1"/>
  <c r="D61" i="1"/>
  <c r="I18" i="2"/>
  <c r="J19" i="8"/>
  <c r="I30" i="1" s="1"/>
  <c r="G25" i="8"/>
  <c r="F31" i="1" s="1"/>
  <c r="E32" i="8"/>
  <c r="F32" i="8"/>
  <c r="G8" i="1"/>
  <c r="S35" i="1"/>
  <c r="T35" i="1" s="1"/>
  <c r="S36" i="1"/>
  <c r="T36" i="1" s="1"/>
  <c r="AJ33" i="1"/>
  <c r="AI33" i="1"/>
  <c r="D33" i="1"/>
  <c r="G13" i="8"/>
  <c r="T8" i="1"/>
  <c r="U28" i="1"/>
  <c r="D2" i="2"/>
  <c r="E87" i="1"/>
  <c r="E80" i="1"/>
  <c r="E46" i="1"/>
  <c r="E48" i="1"/>
  <c r="C28" i="2"/>
  <c r="E28" i="2" s="1"/>
  <c r="E14" i="2"/>
  <c r="C38" i="2"/>
  <c r="E39" i="4"/>
  <c r="G33" i="1"/>
  <c r="H32" i="8"/>
  <c r="G31" i="8"/>
  <c r="F32" i="1" s="1"/>
  <c r="H33" i="1"/>
  <c r="K16" i="8"/>
  <c r="K19" i="8" s="1"/>
  <c r="J30" i="1" s="1"/>
  <c r="I32" i="8"/>
  <c r="F18" i="1"/>
  <c r="E23" i="1"/>
  <c r="E37" i="1" s="1"/>
  <c r="L36" i="1"/>
  <c r="N46" i="2" s="1"/>
  <c r="L35" i="1"/>
  <c r="G18" i="1"/>
  <c r="G23" i="1"/>
  <c r="G37" i="1" s="1"/>
  <c r="J53" i="1"/>
  <c r="G61" i="1"/>
  <c r="F96" i="1"/>
  <c r="I14" i="2"/>
  <c r="I78" i="1"/>
  <c r="G79" i="1"/>
  <c r="D37" i="2"/>
  <c r="F39" i="3"/>
  <c r="F40" i="3" s="1"/>
  <c r="G38" i="2"/>
  <c r="I39" i="4"/>
  <c r="I40" i="4" s="1"/>
  <c r="H18" i="1"/>
  <c r="H35" i="1" s="1"/>
  <c r="G28" i="2"/>
  <c r="H79" i="1"/>
  <c r="H39" i="3"/>
  <c r="F37" i="2"/>
  <c r="D28" i="1"/>
  <c r="D36" i="1" s="1"/>
  <c r="F31" i="2"/>
  <c r="H11" i="2"/>
  <c r="E15" i="2"/>
  <c r="I15" i="2" s="1"/>
  <c r="H16" i="2"/>
  <c r="I16" i="2" s="1"/>
  <c r="E88" i="1"/>
  <c r="D93" i="1"/>
  <c r="E2" i="2"/>
  <c r="G4" i="2"/>
  <c r="E9" i="2"/>
  <c r="I9" i="2" s="1"/>
  <c r="F17" i="2"/>
  <c r="H43" i="2"/>
  <c r="G28" i="3"/>
  <c r="G35" i="3" s="1"/>
  <c r="K19" i="3"/>
  <c r="K28" i="3" s="1"/>
  <c r="I33" i="5"/>
  <c r="I34" i="5" s="1"/>
  <c r="J13" i="7"/>
  <c r="D4" i="2"/>
  <c r="E4" i="2" s="1"/>
  <c r="E83" i="1"/>
  <c r="G26" i="2"/>
  <c r="I51" i="1"/>
  <c r="I81" i="1" s="1"/>
  <c r="D54" i="1"/>
  <c r="F54" i="1" s="1"/>
  <c r="F56" i="1"/>
  <c r="J56" i="1" s="1"/>
  <c r="I69" i="1"/>
  <c r="D72" i="1"/>
  <c r="F74" i="1"/>
  <c r="J74" i="1" s="1"/>
  <c r="I77" i="1"/>
  <c r="D80" i="1"/>
  <c r="E81" i="1"/>
  <c r="G93" i="1"/>
  <c r="G2" i="2"/>
  <c r="D7" i="2"/>
  <c r="E7" i="2" s="1"/>
  <c r="C13" i="2"/>
  <c r="G17" i="2"/>
  <c r="G29" i="2" s="1"/>
  <c r="F28" i="2"/>
  <c r="E37" i="2"/>
  <c r="E39" i="3"/>
  <c r="J35" i="4"/>
  <c r="K30" i="4"/>
  <c r="K34" i="4" s="1"/>
  <c r="J12" i="1" s="1"/>
  <c r="K12" i="7"/>
  <c r="T28" i="1"/>
  <c r="C3" i="2"/>
  <c r="E3" i="2" s="1"/>
  <c r="D88" i="1"/>
  <c r="F88" i="1" s="1"/>
  <c r="F47" i="1"/>
  <c r="G48" i="1"/>
  <c r="I48" i="1" s="1"/>
  <c r="I50" i="1"/>
  <c r="J50" i="1" s="1"/>
  <c r="H58" i="1"/>
  <c r="H61" i="1" s="1"/>
  <c r="I59" i="1"/>
  <c r="C31" i="2"/>
  <c r="E31" i="2" s="1"/>
  <c r="E11" i="2"/>
  <c r="F65" i="1"/>
  <c r="G66" i="1"/>
  <c r="I66" i="1" s="1"/>
  <c r="I67" i="1" s="1"/>
  <c r="I68" i="1"/>
  <c r="J68" i="1" s="1"/>
  <c r="E72" i="1"/>
  <c r="E73" i="1" s="1"/>
  <c r="I76" i="1"/>
  <c r="I79" i="1" s="1"/>
  <c r="G81" i="1"/>
  <c r="D87" i="1"/>
  <c r="G88" i="1"/>
  <c r="D90" i="1"/>
  <c r="F90" i="1" s="1"/>
  <c r="H93" i="1"/>
  <c r="C5" i="2"/>
  <c r="D13" i="2"/>
  <c r="K13" i="3"/>
  <c r="K17" i="3" s="1"/>
  <c r="K6" i="4"/>
  <c r="K12" i="4" s="1"/>
  <c r="G29" i="6"/>
  <c r="G33" i="6" s="1"/>
  <c r="G34" i="6" s="1"/>
  <c r="E33" i="6"/>
  <c r="E34" i="6" s="1"/>
  <c r="J29" i="6"/>
  <c r="J30" i="7"/>
  <c r="K17" i="7"/>
  <c r="F46" i="1"/>
  <c r="H4" i="2"/>
  <c r="H48" i="1"/>
  <c r="D52" i="1"/>
  <c r="I58" i="1"/>
  <c r="I61" i="1" s="1"/>
  <c r="E93" i="1"/>
  <c r="D11" i="2"/>
  <c r="D31" i="2" s="1"/>
  <c r="F64" i="1"/>
  <c r="D70" i="1"/>
  <c r="I75" i="1"/>
  <c r="J75" i="1" s="1"/>
  <c r="D78" i="1"/>
  <c r="F78" i="1" s="1"/>
  <c r="J78" i="1" s="1"/>
  <c r="H81" i="1"/>
  <c r="H84" i="1" s="1"/>
  <c r="D83" i="1"/>
  <c r="H88" i="1"/>
  <c r="E90" i="1"/>
  <c r="F7" i="2"/>
  <c r="H7" i="2" s="1"/>
  <c r="N48" i="2"/>
  <c r="Q47" i="2" s="1"/>
  <c r="G18" i="4"/>
  <c r="F10" i="1" s="1"/>
  <c r="G54" i="1"/>
  <c r="H96" i="1"/>
  <c r="G13" i="2"/>
  <c r="H13" i="2" s="1"/>
  <c r="G80" i="1"/>
  <c r="G90" i="1"/>
  <c r="J94" i="1"/>
  <c r="F3" i="2"/>
  <c r="H3" i="2" s="1"/>
  <c r="H5" i="2"/>
  <c r="C8" i="2"/>
  <c r="P49" i="2"/>
  <c r="Q49" i="2" s="1"/>
  <c r="P51" i="2"/>
  <c r="P41" i="2"/>
  <c r="Q41" i="2" s="1"/>
  <c r="P39" i="2"/>
  <c r="Q39" i="2" s="1"/>
  <c r="P37" i="2"/>
  <c r="P48" i="2"/>
  <c r="Q48" i="2" s="1"/>
  <c r="F35" i="4"/>
  <c r="G10" i="6"/>
  <c r="G10" i="7"/>
  <c r="F24" i="1" s="1"/>
  <c r="F28" i="1" s="1"/>
  <c r="K19" i="7"/>
  <c r="K23" i="7" s="1"/>
  <c r="J26" i="1" s="1"/>
  <c r="J23" i="7"/>
  <c r="I26" i="1" s="1"/>
  <c r="I28" i="1" s="1"/>
  <c r="J29" i="7"/>
  <c r="I27" i="1" s="1"/>
  <c r="K27" i="7"/>
  <c r="K29" i="7" s="1"/>
  <c r="J27" i="1" s="1"/>
  <c r="F44" i="1"/>
  <c r="H46" i="1"/>
  <c r="H49" i="1" s="1"/>
  <c r="I47" i="1"/>
  <c r="I83" i="1" s="1"/>
  <c r="H54" i="1"/>
  <c r="E60" i="1"/>
  <c r="F60" i="1" s="1"/>
  <c r="J60" i="1" s="1"/>
  <c r="I65" i="1"/>
  <c r="H72" i="1"/>
  <c r="I72" i="1" s="1"/>
  <c r="D76" i="1"/>
  <c r="G83" i="1"/>
  <c r="G87" i="1"/>
  <c r="H90" i="1"/>
  <c r="C6" i="2"/>
  <c r="E6" i="2" s="1"/>
  <c r="I6" i="2" s="1"/>
  <c r="I35" i="3"/>
  <c r="K15" i="4"/>
  <c r="K18" i="4" s="1"/>
  <c r="J10" i="1" s="1"/>
  <c r="F25" i="2"/>
  <c r="G52" i="1"/>
  <c r="F69" i="1"/>
  <c r="G70" i="1"/>
  <c r="E76" i="1"/>
  <c r="E79" i="1" s="1"/>
  <c r="F77" i="1"/>
  <c r="J77" i="1" s="1"/>
  <c r="F8" i="2"/>
  <c r="H12" i="2"/>
  <c r="I12" i="2" s="1"/>
  <c r="J44" i="2"/>
  <c r="J35" i="3"/>
  <c r="G12" i="4"/>
  <c r="K10" i="7"/>
  <c r="J24" i="1" s="1"/>
  <c r="H35" i="7"/>
  <c r="T23" i="1"/>
  <c r="H87" i="1"/>
  <c r="D48" i="1"/>
  <c r="D49" i="1" s="1"/>
  <c r="H6" i="2"/>
  <c r="H52" i="1"/>
  <c r="E58" i="1"/>
  <c r="E61" i="1" s="1"/>
  <c r="F59" i="1"/>
  <c r="J59" i="1" s="1"/>
  <c r="D66" i="1"/>
  <c r="F66" i="1" s="1"/>
  <c r="J66" i="1" s="1"/>
  <c r="H70" i="1"/>
  <c r="H73" i="1" s="1"/>
  <c r="E17" i="2"/>
  <c r="C29" i="2"/>
  <c r="E29" i="2" s="1"/>
  <c r="G96" i="1"/>
  <c r="I96" i="1" s="1"/>
  <c r="P40" i="2"/>
  <c r="Q40" i="2" s="1"/>
  <c r="K44" i="2"/>
  <c r="K35" i="3"/>
  <c r="G34" i="3"/>
  <c r="H35" i="4"/>
  <c r="G34" i="4"/>
  <c r="F12" i="1" s="1"/>
  <c r="E33" i="5"/>
  <c r="E34" i="5" s="1"/>
  <c r="D43" i="2"/>
  <c r="E43" i="2" s="1"/>
  <c r="I43" i="2" s="1"/>
  <c r="F33" i="6"/>
  <c r="F34" i="6" s="1"/>
  <c r="K13" i="7"/>
  <c r="G40" i="2"/>
  <c r="H40" i="2" s="1"/>
  <c r="I40" i="2" s="1"/>
  <c r="I34" i="7"/>
  <c r="I35" i="7" s="1"/>
  <c r="N44" i="2"/>
  <c r="AA19" i="7"/>
  <c r="N31" i="7" s="1"/>
  <c r="N32" i="7" s="1"/>
  <c r="N33" i="7" s="1"/>
  <c r="O33" i="7" s="1"/>
  <c r="P33" i="7" s="1"/>
  <c r="P35" i="7" s="1"/>
  <c r="Q35" i="7" s="1"/>
  <c r="R35" i="7" s="1"/>
  <c r="G34" i="7"/>
  <c r="E35" i="1" l="1"/>
  <c r="H55" i="1"/>
  <c r="G35" i="4"/>
  <c r="F9" i="1"/>
  <c r="F13" i="1" s="1"/>
  <c r="F35" i="1" s="1"/>
  <c r="J69" i="1"/>
  <c r="K10" i="6"/>
  <c r="J19" i="1" s="1"/>
  <c r="J23" i="1" s="1"/>
  <c r="F19" i="1"/>
  <c r="F23" i="1" s="1"/>
  <c r="F37" i="1" s="1"/>
  <c r="H95" i="1"/>
  <c r="H97" i="1"/>
  <c r="J47" i="1"/>
  <c r="F83" i="1"/>
  <c r="G39" i="3"/>
  <c r="E40" i="3"/>
  <c r="G25" i="2"/>
  <c r="G30" i="2" s="1"/>
  <c r="G20" i="2"/>
  <c r="G67" i="1"/>
  <c r="I11" i="2"/>
  <c r="J51" i="1"/>
  <c r="D26" i="2"/>
  <c r="Q50" i="2"/>
  <c r="Q52" i="2" s="1"/>
  <c r="E49" i="1"/>
  <c r="C41" i="2"/>
  <c r="E36" i="8"/>
  <c r="E5" i="2"/>
  <c r="C26" i="2"/>
  <c r="G31" i="2"/>
  <c r="G91" i="1"/>
  <c r="G89" i="1"/>
  <c r="F39" i="4"/>
  <c r="F40" i="4" s="1"/>
  <c r="D38" i="2"/>
  <c r="C27" i="2"/>
  <c r="E27" i="2" s="1"/>
  <c r="E8" i="2"/>
  <c r="I54" i="1"/>
  <c r="F52" i="1"/>
  <c r="D55" i="1"/>
  <c r="J65" i="1"/>
  <c r="G95" i="1"/>
  <c r="I93" i="1"/>
  <c r="G97" i="1"/>
  <c r="I97" i="1" s="1"/>
  <c r="H31" i="2"/>
  <c r="I31" i="2" s="1"/>
  <c r="G41" i="2"/>
  <c r="I36" i="8"/>
  <c r="I37" i="8" s="1"/>
  <c r="E82" i="1"/>
  <c r="E84" i="1"/>
  <c r="C25" i="2"/>
  <c r="T49" i="2"/>
  <c r="S49" i="2"/>
  <c r="I33" i="1"/>
  <c r="E97" i="1"/>
  <c r="E95" i="1"/>
  <c r="E98" i="1" s="1"/>
  <c r="G35" i="7"/>
  <c r="I5" i="2"/>
  <c r="K35" i="4"/>
  <c r="J9" i="1"/>
  <c r="J13" i="1" s="1"/>
  <c r="I88" i="1"/>
  <c r="I3" i="2"/>
  <c r="J54" i="1"/>
  <c r="F93" i="1"/>
  <c r="J93" i="1" s="1"/>
  <c r="D95" i="1"/>
  <c r="D97" i="1"/>
  <c r="J96" i="1"/>
  <c r="N40" i="1"/>
  <c r="M40" i="1"/>
  <c r="E89" i="1"/>
  <c r="E91" i="1"/>
  <c r="J32" i="8"/>
  <c r="G73" i="1"/>
  <c r="I70" i="1"/>
  <c r="I73" i="1" s="1"/>
  <c r="K29" i="6"/>
  <c r="K33" i="6" s="1"/>
  <c r="K34" i="6" s="1"/>
  <c r="J33" i="6"/>
  <c r="J34" i="6" s="1"/>
  <c r="E38" i="2"/>
  <c r="I38" i="2" s="1"/>
  <c r="F80" i="1"/>
  <c r="J44" i="1"/>
  <c r="H25" i="2"/>
  <c r="P42" i="2"/>
  <c r="Q37" i="2"/>
  <c r="Q42" i="2" s="1"/>
  <c r="I4" i="2"/>
  <c r="D91" i="1"/>
  <c r="D89" i="1"/>
  <c r="F87" i="1"/>
  <c r="P52" i="2"/>
  <c r="D82" i="1"/>
  <c r="D84" i="1"/>
  <c r="F84" i="1" s="1"/>
  <c r="H2" i="2"/>
  <c r="D20" i="2"/>
  <c r="D25" i="2"/>
  <c r="D30" i="2" s="1"/>
  <c r="H36" i="1"/>
  <c r="J29" i="1"/>
  <c r="J33" i="1" s="1"/>
  <c r="K32" i="8"/>
  <c r="H91" i="1"/>
  <c r="H89" i="1"/>
  <c r="H92" i="1" s="1"/>
  <c r="F76" i="1"/>
  <c r="D79" i="1"/>
  <c r="H39" i="4"/>
  <c r="F38" i="2"/>
  <c r="H38" i="2" s="1"/>
  <c r="H8" i="2"/>
  <c r="I8" i="2" s="1"/>
  <c r="F27" i="2"/>
  <c r="H27" i="2" s="1"/>
  <c r="F20" i="2"/>
  <c r="F70" i="1"/>
  <c r="D73" i="1"/>
  <c r="H28" i="2"/>
  <c r="I28" i="2" s="1"/>
  <c r="F26" i="2"/>
  <c r="H26" i="2" s="1"/>
  <c r="H40" i="3"/>
  <c r="F41" i="2"/>
  <c r="H41" i="2" s="1"/>
  <c r="H36" i="8"/>
  <c r="D67" i="1"/>
  <c r="F58" i="1"/>
  <c r="I35" i="1"/>
  <c r="I36" i="1"/>
  <c r="N8" i="1"/>
  <c r="M8" i="1"/>
  <c r="R47" i="2" s="1"/>
  <c r="AK8" i="1"/>
  <c r="AL8" i="1" s="1"/>
  <c r="D41" i="2"/>
  <c r="F36" i="8"/>
  <c r="F37" i="8" s="1"/>
  <c r="F48" i="1"/>
  <c r="J48" i="1" s="1"/>
  <c r="G55" i="1"/>
  <c r="I52" i="1"/>
  <c r="I55" i="1" s="1"/>
  <c r="I90" i="1"/>
  <c r="I7" i="2"/>
  <c r="J64" i="1"/>
  <c r="J67" i="1" s="1"/>
  <c r="F67" i="1"/>
  <c r="K30" i="7"/>
  <c r="J25" i="1"/>
  <c r="J28" i="1" s="1"/>
  <c r="C20" i="2"/>
  <c r="G49" i="1"/>
  <c r="I46" i="1"/>
  <c r="I49" i="1" s="1"/>
  <c r="H82" i="1"/>
  <c r="H85" i="1" s="1"/>
  <c r="I87" i="1"/>
  <c r="J34" i="7"/>
  <c r="J35" i="7" s="1"/>
  <c r="G37" i="2"/>
  <c r="G42" i="2" s="1"/>
  <c r="I39" i="3"/>
  <c r="I40" i="3" s="1"/>
  <c r="Q51" i="2"/>
  <c r="G82" i="1"/>
  <c r="G84" i="1"/>
  <c r="I84" i="1" s="1"/>
  <c r="E13" i="2"/>
  <c r="I13" i="2" s="1"/>
  <c r="F72" i="1"/>
  <c r="J72" i="1" s="1"/>
  <c r="F29" i="2"/>
  <c r="H29" i="2" s="1"/>
  <c r="I29" i="2" s="1"/>
  <c r="H17" i="2"/>
  <c r="I17" i="2" s="1"/>
  <c r="D42" i="2"/>
  <c r="I80" i="1"/>
  <c r="E40" i="4"/>
  <c r="G39" i="4"/>
  <c r="F29" i="1"/>
  <c r="F33" i="1" s="1"/>
  <c r="F36" i="1" s="1"/>
  <c r="G32" i="8"/>
  <c r="G35" i="1"/>
  <c r="G36" i="1"/>
  <c r="F81" i="1"/>
  <c r="N28" i="1" l="1"/>
  <c r="M28" i="1"/>
  <c r="R50" i="2" s="1"/>
  <c r="AK28" i="1"/>
  <c r="AL28" i="1" s="1"/>
  <c r="J35" i="1"/>
  <c r="J36" i="1"/>
  <c r="H20" i="2"/>
  <c r="I2" i="2"/>
  <c r="I20" i="2" s="1"/>
  <c r="J39" i="3"/>
  <c r="J40" i="3" s="1"/>
  <c r="H37" i="2"/>
  <c r="I37" i="2" s="1"/>
  <c r="F91" i="1"/>
  <c r="E92" i="1"/>
  <c r="I91" i="1"/>
  <c r="F42" i="2"/>
  <c r="H42" i="2" s="1"/>
  <c r="H44" i="2" s="1"/>
  <c r="F55" i="1"/>
  <c r="J52" i="1"/>
  <c r="J55" i="1" s="1"/>
  <c r="J81" i="1"/>
  <c r="J88" i="1"/>
  <c r="J90" i="1"/>
  <c r="J83" i="1"/>
  <c r="N33" i="1"/>
  <c r="M33" i="1"/>
  <c r="R51" i="2" s="1"/>
  <c r="AK33" i="1"/>
  <c r="AL33" i="1" s="1"/>
  <c r="J84" i="1"/>
  <c r="M13" i="1"/>
  <c r="R48" i="2" s="1"/>
  <c r="R52" i="2" s="1"/>
  <c r="T52" i="2" s="1"/>
  <c r="N13" i="1"/>
  <c r="AK13" i="1"/>
  <c r="AL13" i="1" s="1"/>
  <c r="E20" i="2"/>
  <c r="E26" i="2"/>
  <c r="I26" i="2" s="1"/>
  <c r="F73" i="1"/>
  <c r="J70" i="1"/>
  <c r="J73" i="1" s="1"/>
  <c r="G92" i="1"/>
  <c r="I89" i="1"/>
  <c r="I92" i="1" s="1"/>
  <c r="F82" i="1"/>
  <c r="D85" i="1"/>
  <c r="H98" i="1"/>
  <c r="S47" i="2"/>
  <c r="T47" i="2"/>
  <c r="D92" i="1"/>
  <c r="F89" i="1"/>
  <c r="F61" i="1"/>
  <c r="J58" i="1"/>
  <c r="J61" i="1" s="1"/>
  <c r="F49" i="1"/>
  <c r="J39" i="4"/>
  <c r="J40" i="4" s="1"/>
  <c r="H40" i="4"/>
  <c r="H30" i="2"/>
  <c r="F97" i="1"/>
  <c r="J97" i="1" s="1"/>
  <c r="E25" i="2"/>
  <c r="C30" i="2"/>
  <c r="I27" i="2"/>
  <c r="G36" i="8"/>
  <c r="E37" i="8"/>
  <c r="G40" i="3"/>
  <c r="J46" i="1"/>
  <c r="J49" i="1" s="1"/>
  <c r="F30" i="2"/>
  <c r="D98" i="1"/>
  <c r="F95" i="1"/>
  <c r="I95" i="1"/>
  <c r="I98" i="1" s="1"/>
  <c r="G98" i="1"/>
  <c r="E41" i="2"/>
  <c r="I41" i="2" s="1"/>
  <c r="J37" i="1"/>
  <c r="N23" i="1"/>
  <c r="M23" i="1"/>
  <c r="Q18" i="1"/>
  <c r="P18" i="1"/>
  <c r="C42" i="2"/>
  <c r="E42" i="2" s="1"/>
  <c r="G40" i="4"/>
  <c r="K39" i="4"/>
  <c r="K40" i="4" s="1"/>
  <c r="G85" i="1"/>
  <c r="I82" i="1"/>
  <c r="I85" i="1" s="1"/>
  <c r="J36" i="8"/>
  <c r="J37" i="8" s="1"/>
  <c r="H37" i="8"/>
  <c r="F79" i="1"/>
  <c r="J76" i="1"/>
  <c r="J79" i="1" s="1"/>
  <c r="J87" i="1"/>
  <c r="J80" i="1"/>
  <c r="K34" i="7"/>
  <c r="K35" i="7" s="1"/>
  <c r="E85" i="1"/>
  <c r="M36" i="1" l="1"/>
  <c r="N36" i="1"/>
  <c r="I25" i="2"/>
  <c r="I30" i="2" s="1"/>
  <c r="I32" i="2" s="1"/>
  <c r="E30" i="2"/>
  <c r="N37" i="1"/>
  <c r="M37" i="1"/>
  <c r="K39" i="3"/>
  <c r="K40" i="3" s="1"/>
  <c r="N35" i="1"/>
  <c r="M35" i="1"/>
  <c r="T51" i="2"/>
  <c r="S51" i="2"/>
  <c r="J89" i="1"/>
  <c r="F92" i="1"/>
  <c r="T48" i="2"/>
  <c r="S48" i="2"/>
  <c r="S52" i="2" s="1"/>
  <c r="E44" i="2"/>
  <c r="I42" i="2"/>
  <c r="I44" i="2" s="1"/>
  <c r="G37" i="8"/>
  <c r="K36" i="8"/>
  <c r="K37" i="8" s="1"/>
  <c r="F98" i="1"/>
  <c r="J95" i="1"/>
  <c r="J98" i="1" s="1"/>
  <c r="J91" i="1"/>
  <c r="S50" i="2"/>
  <c r="T50" i="2"/>
  <c r="F85" i="1"/>
  <c r="J82" i="1"/>
  <c r="J85" i="1" s="1"/>
  <c r="J92" i="1" l="1"/>
</calcChain>
</file>

<file path=xl/sharedStrings.xml><?xml version="1.0" encoding="utf-8"?>
<sst xmlns="http://schemas.openxmlformats.org/spreadsheetml/2006/main" count="687" uniqueCount="214">
  <si>
    <t>2025年度予算</t>
  </si>
  <si>
    <t>■</t>
  </si>
  <si>
    <t>システム基盤グループ</t>
  </si>
  <si>
    <t>単位：千円</t>
  </si>
  <si>
    <t>【売上計画・見込】</t>
  </si>
  <si>
    <t>7～9月</t>
  </si>
  <si>
    <t>10～12月</t>
  </si>
  <si>
    <t>1～3月</t>
  </si>
  <si>
    <t>4～6月</t>
  </si>
  <si>
    <t>作業項目／プロジェクト名</t>
  </si>
  <si>
    <t>顧客区分</t>
  </si>
  <si>
    <t>１Q</t>
  </si>
  <si>
    <t>２Q</t>
  </si>
  <si>
    <t>計</t>
  </si>
  <si>
    <t>３Q</t>
  </si>
  <si>
    <t>４Q</t>
  </si>
  <si>
    <t>合計</t>
  </si>
  <si>
    <t>作成請負</t>
  </si>
  <si>
    <t>ハロー保守業務</t>
  </si>
  <si>
    <t>富士通</t>
  </si>
  <si>
    <t>崎元(80)、山瀬(75)、佐藤(75)、石本(60)</t>
  </si>
  <si>
    <t>ハロー雇用保険PMO業務</t>
  </si>
  <si>
    <t>太田(85)</t>
  </si>
  <si>
    <t>ハロー拠点設計開発業務</t>
  </si>
  <si>
    <t>荒木(80)</t>
  </si>
  <si>
    <t>ハロー拠点設計開発業務（シフト）</t>
  </si>
  <si>
    <t>努力目標</t>
  </si>
  <si>
    <t>下田予定(65→80)</t>
  </si>
  <si>
    <t>崎元(80→85)、山瀬(75→80)、佐藤(75→80)、石本(60→75)：合計300千円</t>
  </si>
  <si>
    <t>荒木(80→85)</t>
  </si>
  <si>
    <t>努力目標（追加予算）</t>
  </si>
  <si>
    <t>小計</t>
  </si>
  <si>
    <t>作業請負</t>
  </si>
  <si>
    <t>TAM</t>
  </si>
  <si>
    <t>自社顧客</t>
  </si>
  <si>
    <t>下田(65)</t>
  </si>
  <si>
    <t>派遣</t>
  </si>
  <si>
    <t>e-FOCUS</t>
  </si>
  <si>
    <t>秋築：時給4240x160hx3か月を見込む、2026/4から120円up見込み</t>
  </si>
  <si>
    <t>単金Up</t>
  </si>
  <si>
    <t>サービス（自主ビなど）</t>
  </si>
  <si>
    <t>【要員計画】</t>
  </si>
  <si>
    <t>要員数</t>
  </si>
  <si>
    <t>一人当たりの売上</t>
  </si>
  <si>
    <t>一人当たりの売上（月）</t>
  </si>
  <si>
    <t>2025年度売上見込み</t>
  </si>
  <si>
    <t>2025年度予算（110%）</t>
  </si>
  <si>
    <t>差額(年)</t>
  </si>
  <si>
    <t>万円</t>
  </si>
  <si>
    <t>差額(月)</t>
  </si>
  <si>
    <t>2025年度予算（105%）</t>
  </si>
  <si>
    <t>2025年度 売上予算（見込み）</t>
  </si>
  <si>
    <t>(目標：5%)</t>
  </si>
  <si>
    <t>月平均</t>
  </si>
  <si>
    <t>単位：人</t>
  </si>
  <si>
    <t>平均要員数</t>
  </si>
  <si>
    <t>要員増減</t>
  </si>
  <si>
    <t>1人当たりの売上</t>
  </si>
  <si>
    <t>部門名</t>
  </si>
  <si>
    <t>期計</t>
  </si>
  <si>
    <t>2024売上</t>
  </si>
  <si>
    <t>伸長額</t>
  </si>
  <si>
    <t>伸長率</t>
  </si>
  <si>
    <t>2022要員</t>
  </si>
  <si>
    <t>計画要員</t>
  </si>
  <si>
    <t>差異</t>
  </si>
  <si>
    <t>増減率</t>
  </si>
  <si>
    <t>2023年延べ人数</t>
  </si>
  <si>
    <t>2024年延べ人数</t>
  </si>
  <si>
    <t>2025年延べ人数（見込み）</t>
  </si>
  <si>
    <t>新人</t>
  </si>
  <si>
    <t>2024年度</t>
  </si>
  <si>
    <t>2025年度</t>
  </si>
  <si>
    <t>係数</t>
  </si>
  <si>
    <t>第一システムグループ(サポート)</t>
  </si>
  <si>
    <t>新人含む</t>
  </si>
  <si>
    <t>サービス</t>
  </si>
  <si>
    <t>サポート</t>
  </si>
  <si>
    <t>OK</t>
  </si>
  <si>
    <t>第一システムグループ(開発)</t>
  </si>
  <si>
    <t>開発</t>
  </si>
  <si>
    <t>厳しいかな・・・</t>
  </si>
  <si>
    <t>第二システムグループ</t>
  </si>
  <si>
    <t>［補足］</t>
  </si>
  <si>
    <t>第二 CO含む</t>
  </si>
  <si>
    <t>第二</t>
  </si>
  <si>
    <t>第二システムグループ(COネット）</t>
  </si>
  <si>
    <t>CO</t>
  </si>
  <si>
    <t>アプリ開発グループ</t>
  </si>
  <si>
    <t>アプリ開発</t>
  </si>
  <si>
    <t>105%を目標に見直して</t>
  </si>
  <si>
    <t>基盤</t>
  </si>
  <si>
    <t>全社合計(CO含む)</t>
  </si>
  <si>
    <t>ナトーハイシステムズ合計</t>
  </si>
  <si>
    <t>COネット合計</t>
  </si>
  <si>
    <t>2023売上目標</t>
  </si>
  <si>
    <t>ランク</t>
  </si>
  <si>
    <t>A～Cランク：受注先がすでに決まっており、継続的など受注角度が高いもの。</t>
  </si>
  <si>
    <t>A～C</t>
  </si>
  <si>
    <t>Dランク：受注先が決まっており60%超えで受注成功が期待できるもの。または、A～Cランクの案件に追加で60%超えで期待できるもの。</t>
  </si>
  <si>
    <t>D</t>
  </si>
  <si>
    <t>Eランク：受注先を決めているが、受注成功率が60%以下の努力目標。</t>
  </si>
  <si>
    <t>Fランク：受注先が未確定であり、2025年以降に新たに取り組む努力目標。</t>
  </si>
  <si>
    <t>E,F</t>
  </si>
  <si>
    <t>達成率</t>
  </si>
  <si>
    <t>第二システムグループ（COネット）</t>
  </si>
  <si>
    <t>合計（COネット含む）</t>
  </si>
  <si>
    <t>合計（Nato-High）</t>
  </si>
  <si>
    <t>合計（COネット）</t>
  </si>
  <si>
    <t>　</t>
  </si>
  <si>
    <t>第一システムグループ（開発）</t>
  </si>
  <si>
    <t>D,E</t>
  </si>
  <si>
    <t>S</t>
  </si>
  <si>
    <t>予算411,000千円</t>
  </si>
  <si>
    <t>不足予算</t>
  </si>
  <si>
    <t>SI</t>
  </si>
  <si>
    <t>予算</t>
  </si>
  <si>
    <t>微調整</t>
  </si>
  <si>
    <t>丸め予算</t>
  </si>
  <si>
    <t>延べ数</t>
  </si>
  <si>
    <t>比率</t>
  </si>
  <si>
    <t>金額</t>
  </si>
  <si>
    <t>丸め</t>
  </si>
  <si>
    <t>延べ数予算</t>
  </si>
  <si>
    <t>差額</t>
  </si>
  <si>
    <t>予算率</t>
  </si>
  <si>
    <t>2025予算</t>
  </si>
  <si>
    <t>第一システムグループ</t>
  </si>
  <si>
    <t>2023年度</t>
  </si>
  <si>
    <t>実績</t>
  </si>
  <si>
    <t>千円</t>
  </si>
  <si>
    <t>目標値</t>
  </si>
  <si>
    <t>前年実績5%up値</t>
  </si>
  <si>
    <t>Q毎</t>
  </si>
  <si>
    <t>原価(月あたりの１人分)</t>
  </si>
  <si>
    <t>3,100*170H=</t>
  </si>
  <si>
    <t>5名</t>
  </si>
  <si>
    <t>３ヶ月</t>
  </si>
  <si>
    <t>サポートデスク（FTI）</t>
  </si>
  <si>
    <t>富士通関連</t>
  </si>
  <si>
    <t>サポートデスク（CSL）</t>
  </si>
  <si>
    <t>2024年度売上　</t>
  </si>
  <si>
    <t>稼働下方修正</t>
  </si>
  <si>
    <t>サポートデスク（Vmware）（CSL）</t>
  </si>
  <si>
    <t>WIN 据え</t>
  </si>
  <si>
    <t>ARCserve ベンダーサポート</t>
  </si>
  <si>
    <t>単金</t>
  </si>
  <si>
    <t>BO -2H/月</t>
  </si>
  <si>
    <t>Gloviaサポート</t>
  </si>
  <si>
    <t>一人50円↑目標2Ｑ</t>
  </si>
  <si>
    <t>VM 据え</t>
  </si>
  <si>
    <t>お客様Webコンテンツ編集</t>
  </si>
  <si>
    <t>増員</t>
  </si>
  <si>
    <t>WEB -5H/月</t>
  </si>
  <si>
    <t>努力目標（単金UP)</t>
  </si>
  <si>
    <t>3Ｑ以降</t>
  </si>
  <si>
    <t>GLO 据え</t>
  </si>
  <si>
    <t>努力目標（1名増員）</t>
  </si>
  <si>
    <t>自治体SD/GSSD開発関連</t>
  </si>
  <si>
    <t>ezSDS保守</t>
  </si>
  <si>
    <t>ニフティ対応</t>
  </si>
  <si>
    <t>他の開発作業</t>
  </si>
  <si>
    <t>セキュアゲートウェイ</t>
  </si>
  <si>
    <t>セキュアゲートウェイ(スポット)</t>
  </si>
  <si>
    <t>2026年度予算</t>
  </si>
  <si>
    <t>2025年度実績</t>
  </si>
  <si>
    <t>グループ</t>
  </si>
  <si>
    <t>2024年度売上見込</t>
  </si>
  <si>
    <t>合計CO込み</t>
  </si>
  <si>
    <t>2024年度実績</t>
  </si>
  <si>
    <t>アプリ開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</si>
  <si>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</si>
  <si>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</si>
  <si>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</si>
  <si>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</si>
  <si>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</si>
  <si>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</si>
  <si>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</si>
  <si>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</si>
  <si>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</si>
  <si>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</si>
  <si>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</si>
  <si>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</si>
  <si>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ニフティ 課金システム</t>
  </si>
  <si>
    <t>見込</t>
  </si>
  <si>
    <t>ニフティ 課金システム(42H/月)</t>
  </si>
  <si>
    <t>ニフティ 課金システム(新人)</t>
  </si>
  <si>
    <t>差額予算</t>
  </si>
  <si>
    <t>ニフティ 課金システム(スポット60H/Q)</t>
  </si>
  <si>
    <t>差額見込</t>
  </si>
  <si>
    <t>売上内訳</t>
  </si>
  <si>
    <t>請負</t>
  </si>
  <si>
    <t>前年度差額</t>
  </si>
  <si>
    <t>メンバー/1人</t>
  </si>
  <si>
    <t>請負売上</t>
  </si>
  <si>
    <t>平均</t>
  </si>
  <si>
    <t>人月</t>
  </si>
  <si>
    <t>人数</t>
  </si>
  <si>
    <t>木下、田上、荒木、辰巳、宮本</t>
  </si>
  <si>
    <t>米村</t>
  </si>
  <si>
    <t>見込合計</t>
  </si>
  <si>
    <t>努力目標①</t>
  </si>
  <si>
    <t>170H/一人</t>
  </si>
  <si>
    <t>7.0H×6名＝42.0H</t>
  </si>
  <si>
    <t>42.0H/170H=0.25×950千円＝237,500</t>
  </si>
  <si>
    <t>努力目標②</t>
  </si>
  <si>
    <t>30H/月</t>
  </si>
  <si>
    <t>３０H/170H=0.18×950=171千円</t>
  </si>
  <si>
    <t>努力目標③</t>
  </si>
  <si>
    <t>７0H/Q</t>
  </si>
  <si>
    <t>受注区分</t>
  </si>
  <si>
    <t>商談区分</t>
  </si>
  <si>
    <t>MS関連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</si>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</sst>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176" formatCode="#,##0.0;[Red]\-#,##0.0"/>
    <numFmt numFmtId="177" formatCode="0.0%"/>
    <numFmt numFmtId="178" formatCode="#,##0,"/>
    <numFmt numFmtId="179" formatCode="#,##0_ ;[Red]\-#,##0\ "/>
    <numFmt numFmtId="180" formatCode="#,##0_ "/>
    <numFmt numFmtId="181" formatCode="_ * #,##0.0_ ;_ * \-#,##0.0_ ;_ * &quot;-&quot;?_ ;_ @_ "/>
    <numFmt numFmtId="182" formatCode="#,##0.0_ "/>
    <numFmt numFmtId="183" formatCode="#,##0.00_ "/>
    <numFmt numFmtId="184" formatCode="#,##0_);[Red]\(#,##0\)"/>
  </numFmts>
  <fonts count="32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14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0"/>
      <color rgb="FF006100"/>
      <name val="Meiryo UI"/>
      <family val="3"/>
      <charset val="128"/>
    </font>
    <font>
      <sz val="10"/>
      <color rgb="FF9C0006"/>
      <name val="Meiryo UI"/>
      <family val="3"/>
      <charset val="128"/>
    </font>
    <font>
      <b/>
      <sz val="10"/>
      <color rgb="FFFFFFFF"/>
      <name val="游ゴシック"/>
      <family val="3"/>
      <charset val="128"/>
    </font>
    <font>
      <sz val="10"/>
      <name val="游ゴシック"/>
      <family val="3"/>
      <charset val="128"/>
    </font>
    <font>
      <sz val="10"/>
      <color rgb="FF006100"/>
      <name val="游ゴシック"/>
      <family val="3"/>
      <charset val="128"/>
    </font>
    <font>
      <sz val="10"/>
      <color rgb="FFC00000"/>
      <name val="游ゴシック"/>
      <family val="3"/>
      <charset val="128"/>
    </font>
    <font>
      <sz val="10"/>
      <name val="Meiryo UI"/>
      <family val="3"/>
      <charset val="128"/>
    </font>
    <font>
      <sz val="11"/>
      <name val="游ゴシック"/>
      <family val="2"/>
      <scheme val="minor"/>
    </font>
    <font>
      <sz val="11"/>
      <color rgb="FF242424"/>
      <name val="Yu Gothic"/>
      <family val="3"/>
      <charset val="128"/>
    </font>
    <font>
      <sz val="10"/>
      <color theme="7" tint="-0.499984740745262"/>
      <name val="Meiryo UI"/>
      <family val="3"/>
      <charset val="128"/>
    </font>
    <font>
      <sz val="10"/>
      <color theme="7" tint="-0.499984740745262"/>
      <name val="游ゴシック"/>
      <family val="2"/>
      <charset val="128"/>
      <scheme val="minor"/>
    </font>
    <font>
      <sz val="11"/>
      <color theme="7" tint="-0.499984740745262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游ゴシック"/>
      <family val="2"/>
      <charset val="128"/>
      <scheme val="minor"/>
    </font>
    <font>
      <sz val="11"/>
      <name val="Meiryo UI"/>
      <family val="3"/>
      <charset val="128"/>
    </font>
    <font>
      <b/>
      <sz val="10"/>
      <name val="游ゴシック"/>
      <family val="3"/>
      <charset val="128"/>
    </font>
    <font>
      <b/>
      <sz val="11"/>
      <name val="游ゴシック"/>
      <family val="3"/>
      <charset val="128"/>
      <scheme val="minor"/>
    </font>
    <font>
      <b/>
      <sz val="11"/>
      <color rgb="FFEE0000"/>
      <name val="游ゴシック"/>
      <family val="3"/>
      <charset val="128"/>
      <scheme val="minor"/>
    </font>
    <font>
      <sz val="10"/>
      <color rgb="FFC00000"/>
      <name val="Meiryo UI"/>
      <family val="3"/>
      <charset val="128"/>
    </font>
    <font>
      <sz val="11"/>
      <color rgb="FFC0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2" tint="-0.2499465926084170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indexed="64"/>
      </right>
      <top style="hair">
        <color auto="1"/>
      </top>
      <bottom style="double">
        <color auto="1"/>
      </bottom>
      <diagonal/>
    </border>
  </borders>
  <cellStyleXfs count="5">
    <xf numFmtId="0" fontId="0" fillId="0" borderId="0"/>
    <xf numFmtId="38" fontId="1" fillId="0" borderId="0">
      <alignment vertical="center"/>
    </xf>
    <xf numFmtId="9" fontId="1" fillId="0" borderId="0">
      <alignment vertical="center"/>
    </xf>
    <xf numFmtId="0" fontId="8" fillId="9" borderId="0">
      <alignment vertical="center"/>
    </xf>
    <xf numFmtId="0" fontId="9" fillId="10" borderId="0">
      <alignment vertical="center"/>
    </xf>
  </cellStyleXfs>
  <cellXfs count="398">
    <xf numFmtId="0" fontId="0" fillId="0" borderId="0" xfId="0"/>
    <xf numFmtId="0" fontId="3" fillId="0" borderId="0" xfId="0" applyFont="1"/>
    <xf numFmtId="176" fontId="3" fillId="0" borderId="0" xfId="1" applyNumberFormat="1" applyFont="1">
      <alignment vertical="center"/>
    </xf>
    <xf numFmtId="176" fontId="3" fillId="0" borderId="0" xfId="1" applyNumberFormat="1" applyFont="1" applyAlignment="1">
      <alignment horizontal="center" vertical="center"/>
    </xf>
    <xf numFmtId="176" fontId="3" fillId="0" borderId="1" xfId="1" applyNumberFormat="1" applyFont="1" applyBorder="1">
      <alignment vertical="center"/>
    </xf>
    <xf numFmtId="176" fontId="3" fillId="0" borderId="1" xfId="1" applyNumberFormat="1" applyFont="1" applyBorder="1" applyAlignment="1">
      <alignment horizontal="center" vertical="center"/>
    </xf>
    <xf numFmtId="176" fontId="3" fillId="0" borderId="3" xfId="1" applyNumberFormat="1" applyFont="1" applyBorder="1">
      <alignment vertical="center"/>
    </xf>
    <xf numFmtId="176" fontId="3" fillId="0" borderId="4" xfId="1" applyNumberFormat="1" applyFont="1" applyBorder="1">
      <alignment vertical="center"/>
    </xf>
    <xf numFmtId="176" fontId="3" fillId="0" borderId="2" xfId="1" applyNumberFormat="1" applyFont="1" applyBorder="1">
      <alignment vertical="center"/>
    </xf>
    <xf numFmtId="176" fontId="3" fillId="2" borderId="5" xfId="1" applyNumberFormat="1" applyFont="1" applyFill="1" applyBorder="1">
      <alignment vertical="center"/>
    </xf>
    <xf numFmtId="176" fontId="3" fillId="0" borderId="5" xfId="1" applyNumberFormat="1" applyFont="1" applyBorder="1" applyAlignment="1">
      <alignment horizontal="center" vertical="center"/>
    </xf>
    <xf numFmtId="176" fontId="3" fillId="2" borderId="6" xfId="1" applyNumberFormat="1" applyFont="1" applyFill="1" applyBorder="1">
      <alignment vertical="center"/>
    </xf>
    <xf numFmtId="176" fontId="3" fillId="0" borderId="6" xfId="1" applyNumberFormat="1" applyFont="1" applyBorder="1" applyAlignment="1">
      <alignment horizontal="center" vertical="center"/>
    </xf>
    <xf numFmtId="176" fontId="3" fillId="2" borderId="7" xfId="1" applyNumberFormat="1" applyFont="1" applyFill="1" applyBorder="1">
      <alignment vertical="center"/>
    </xf>
    <xf numFmtId="176" fontId="3" fillId="0" borderId="7" xfId="1" applyNumberFormat="1" applyFont="1" applyBorder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  <xf numFmtId="176" fontId="3" fillId="0" borderId="8" xfId="1" applyNumberFormat="1" applyFont="1" applyBorder="1">
      <alignment vertical="center"/>
    </xf>
    <xf numFmtId="38" fontId="3" fillId="0" borderId="0" xfId="1" applyFont="1">
      <alignment vertical="center"/>
    </xf>
    <xf numFmtId="38" fontId="3" fillId="0" borderId="0" xfId="1" applyFont="1" applyAlignment="1">
      <alignment horizontal="center" vertical="center"/>
    </xf>
    <xf numFmtId="38" fontId="3" fillId="0" borderId="1" xfId="1" applyFont="1" applyBorder="1" applyAlignment="1">
      <alignment horizontal="center" vertical="center"/>
    </xf>
    <xf numFmtId="38" fontId="3" fillId="0" borderId="1" xfId="1" applyFont="1" applyBorder="1">
      <alignment vertical="center"/>
    </xf>
    <xf numFmtId="38" fontId="3" fillId="2" borderId="5" xfId="1" applyFont="1" applyFill="1" applyBorder="1">
      <alignment vertical="center"/>
    </xf>
    <xf numFmtId="38" fontId="3" fillId="2" borderId="6" xfId="1" applyFont="1" applyFill="1" applyBorder="1">
      <alignment vertical="center"/>
    </xf>
    <xf numFmtId="38" fontId="3" fillId="2" borderId="7" xfId="1" applyFont="1" applyFill="1" applyBorder="1">
      <alignment vertical="center"/>
    </xf>
    <xf numFmtId="38" fontId="3" fillId="0" borderId="2" xfId="1" applyFont="1" applyBorder="1">
      <alignment vertical="center"/>
    </xf>
    <xf numFmtId="38" fontId="3" fillId="3" borderId="1" xfId="1" applyFont="1" applyFill="1" applyBorder="1">
      <alignment vertical="center"/>
    </xf>
    <xf numFmtId="38" fontId="3" fillId="0" borderId="5" xfId="1" applyFont="1" applyBorder="1">
      <alignment vertical="center"/>
    </xf>
    <xf numFmtId="38" fontId="3" fillId="0" borderId="6" xfId="1" applyFont="1" applyBorder="1">
      <alignment vertical="center"/>
    </xf>
    <xf numFmtId="38" fontId="3" fillId="0" borderId="7" xfId="1" applyFont="1" applyBorder="1">
      <alignment vertical="center"/>
    </xf>
    <xf numFmtId="38" fontId="4" fillId="6" borderId="1" xfId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38" fontId="3" fillId="0" borderId="5" xfId="0" applyNumberFormat="1" applyFont="1" applyBorder="1" applyAlignment="1">
      <alignment vertical="center"/>
    </xf>
    <xf numFmtId="38" fontId="3" fillId="4" borderId="5" xfId="0" applyNumberFormat="1" applyFont="1" applyFill="1" applyBorder="1" applyAlignment="1">
      <alignment vertical="center"/>
    </xf>
    <xf numFmtId="38" fontId="3" fillId="5" borderId="5" xfId="0" applyNumberFormat="1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38" fontId="3" fillId="0" borderId="6" xfId="0" applyNumberFormat="1" applyFont="1" applyBorder="1" applyAlignment="1">
      <alignment vertical="center"/>
    </xf>
    <xf numFmtId="38" fontId="3" fillId="4" borderId="6" xfId="0" applyNumberFormat="1" applyFont="1" applyFill="1" applyBorder="1" applyAlignment="1">
      <alignment vertical="center"/>
    </xf>
    <xf numFmtId="38" fontId="3" fillId="5" borderId="6" xfId="0" applyNumberFormat="1" applyFont="1" applyFill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38" fontId="3" fillId="0" borderId="7" xfId="0" applyNumberFormat="1" applyFont="1" applyBorder="1" applyAlignment="1">
      <alignment vertical="center"/>
    </xf>
    <xf numFmtId="38" fontId="3" fillId="4" borderId="7" xfId="0" applyNumberFormat="1" applyFont="1" applyFill="1" applyBorder="1" applyAlignment="1">
      <alignment vertical="center"/>
    </xf>
    <xf numFmtId="38" fontId="3" fillId="5" borderId="7" xfId="0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3" fillId="4" borderId="1" xfId="0" applyNumberFormat="1" applyFont="1" applyFill="1" applyBorder="1" applyAlignment="1">
      <alignment vertical="center"/>
    </xf>
    <xf numFmtId="38" fontId="3" fillId="5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38" fontId="3" fillId="7" borderId="1" xfId="0" applyNumberFormat="1" applyFont="1" applyFill="1" applyBorder="1" applyAlignment="1">
      <alignment vertical="center"/>
    </xf>
    <xf numFmtId="38" fontId="3" fillId="0" borderId="0" xfId="0" applyNumberFormat="1" applyFont="1" applyAlignment="1">
      <alignment vertical="center"/>
    </xf>
    <xf numFmtId="177" fontId="3" fillId="0" borderId="0" xfId="2" applyNumberFormat="1" applyFont="1">
      <alignment vertical="center"/>
    </xf>
    <xf numFmtId="0" fontId="3" fillId="0" borderId="1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177" fontId="3" fillId="0" borderId="1" xfId="2" applyNumberFormat="1" applyFont="1" applyBorder="1">
      <alignment vertical="center"/>
    </xf>
    <xf numFmtId="38" fontId="3" fillId="0" borderId="3" xfId="1" applyFont="1" applyBorder="1">
      <alignment vertical="center"/>
    </xf>
    <xf numFmtId="38" fontId="3" fillId="0" borderId="4" xfId="1" applyFont="1" applyBorder="1">
      <alignment vertical="center"/>
    </xf>
    <xf numFmtId="38" fontId="3" fillId="0" borderId="2" xfId="0" applyNumberFormat="1" applyFont="1" applyBorder="1" applyAlignment="1">
      <alignment vertical="center"/>
    </xf>
    <xf numFmtId="177" fontId="3" fillId="0" borderId="2" xfId="2" applyNumberFormat="1" applyFont="1" applyBorder="1">
      <alignment vertical="center"/>
    </xf>
    <xf numFmtId="38" fontId="3" fillId="0" borderId="4" xfId="0" applyNumberFormat="1" applyFont="1" applyBorder="1" applyAlignment="1">
      <alignment vertical="center"/>
    </xf>
    <xf numFmtId="177" fontId="3" fillId="0" borderId="4" xfId="2" applyNumberFormat="1" applyFont="1" applyBorder="1">
      <alignment vertical="center"/>
    </xf>
    <xf numFmtId="40" fontId="3" fillId="0" borderId="1" xfId="1" applyNumberFormat="1" applyFont="1" applyBorder="1">
      <alignment vertical="center"/>
    </xf>
    <xf numFmtId="40" fontId="3" fillId="0" borderId="1" xfId="0" applyNumberFormat="1" applyFont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40" fontId="3" fillId="0" borderId="14" xfId="0" applyNumberFormat="1" applyFont="1" applyBorder="1" applyAlignment="1">
      <alignment vertical="center"/>
    </xf>
    <xf numFmtId="40" fontId="3" fillId="0" borderId="13" xfId="1" applyNumberFormat="1" applyFont="1" applyBorder="1">
      <alignment vertical="center"/>
    </xf>
    <xf numFmtId="0" fontId="3" fillId="0" borderId="15" xfId="0" applyFont="1" applyBorder="1" applyAlignment="1">
      <alignment vertical="center"/>
    </xf>
    <xf numFmtId="40" fontId="3" fillId="0" borderId="16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40" fontId="3" fillId="0" borderId="15" xfId="1" applyNumberFormat="1" applyFont="1" applyBorder="1">
      <alignment vertical="center"/>
    </xf>
    <xf numFmtId="177" fontId="3" fillId="0" borderId="5" xfId="2" applyNumberFormat="1" applyFont="1" applyBorder="1">
      <alignment vertical="center"/>
    </xf>
    <xf numFmtId="177" fontId="3" fillId="0" borderId="7" xfId="2" applyNumberFormat="1" applyFont="1" applyBorder="1">
      <alignment vertical="center"/>
    </xf>
    <xf numFmtId="40" fontId="3" fillId="0" borderId="5" xfId="1" applyNumberFormat="1" applyFont="1" applyBorder="1">
      <alignment vertical="center"/>
    </xf>
    <xf numFmtId="40" fontId="3" fillId="0" borderId="5" xfId="0" applyNumberFormat="1" applyFont="1" applyBorder="1" applyAlignment="1">
      <alignment vertical="center"/>
    </xf>
    <xf numFmtId="40" fontId="3" fillId="0" borderId="7" xfId="1" applyNumberFormat="1" applyFont="1" applyBorder="1">
      <alignment vertical="center"/>
    </xf>
    <xf numFmtId="40" fontId="3" fillId="0" borderId="7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vertical="center"/>
    </xf>
    <xf numFmtId="38" fontId="6" fillId="0" borderId="0" xfId="1" applyFont="1" applyAlignment="1">
      <alignment horizontal="center" vertical="center"/>
    </xf>
    <xf numFmtId="0" fontId="7" fillId="8" borderId="6" xfId="0" applyFont="1" applyFill="1" applyBorder="1"/>
    <xf numFmtId="38" fontId="9" fillId="10" borderId="7" xfId="4" applyNumberFormat="1" applyBorder="1">
      <alignment vertical="center"/>
    </xf>
    <xf numFmtId="0" fontId="10" fillId="9" borderId="5" xfId="3" applyFont="1" applyBorder="1" applyAlignment="1">
      <alignment horizontal="center" vertical="center"/>
    </xf>
    <xf numFmtId="0" fontId="11" fillId="10" borderId="7" xfId="4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10" fillId="9" borderId="22" xfId="3" applyFont="1" applyBorder="1" applyAlignment="1">
      <alignment horizontal="center" vertical="center"/>
    </xf>
    <xf numFmtId="38" fontId="8" fillId="9" borderId="22" xfId="3" applyNumberFormat="1" applyBorder="1">
      <alignment vertical="center"/>
    </xf>
    <xf numFmtId="0" fontId="3" fillId="0" borderId="24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38" fontId="8" fillId="4" borderId="22" xfId="3" applyNumberFormat="1" applyFill="1" applyBorder="1">
      <alignment vertical="center"/>
    </xf>
    <xf numFmtId="38" fontId="9" fillId="4" borderId="7" xfId="4" applyNumberFormat="1" applyFill="1" applyBorder="1">
      <alignment vertical="center"/>
    </xf>
    <xf numFmtId="38" fontId="8" fillId="5" borderId="23" xfId="3" applyNumberFormat="1" applyFill="1" applyBorder="1">
      <alignment vertical="center"/>
    </xf>
    <xf numFmtId="38" fontId="9" fillId="5" borderId="25" xfId="4" applyNumberFormat="1" applyFill="1" applyBorder="1">
      <alignment vertical="center"/>
    </xf>
    <xf numFmtId="9" fontId="3" fillId="0" borderId="0" xfId="1" applyNumberFormat="1" applyFont="1" applyAlignment="1">
      <alignment horizontal="center" vertical="center"/>
    </xf>
    <xf numFmtId="0" fontId="12" fillId="11" borderId="1" xfId="0" applyFont="1" applyFill="1" applyBorder="1" applyAlignment="1">
      <alignment wrapText="1"/>
    </xf>
    <xf numFmtId="0" fontId="12" fillId="11" borderId="9" xfId="0" applyFont="1" applyFill="1" applyBorder="1" applyAlignment="1">
      <alignment wrapText="1"/>
    </xf>
    <xf numFmtId="0" fontId="13" fillId="12" borderId="4" xfId="0" applyFont="1" applyFill="1" applyBorder="1" applyAlignment="1">
      <alignment wrapText="1"/>
    </xf>
    <xf numFmtId="0" fontId="14" fillId="13" borderId="14" xfId="0" applyFont="1" applyFill="1" applyBorder="1" applyAlignment="1">
      <alignment wrapText="1"/>
    </xf>
    <xf numFmtId="3" fontId="14" fillId="13" borderId="14" xfId="0" applyNumberFormat="1" applyFont="1" applyFill="1" applyBorder="1" applyAlignment="1">
      <alignment wrapText="1"/>
    </xf>
    <xf numFmtId="3" fontId="13" fillId="0" borderId="14" xfId="0" applyNumberFormat="1" applyFont="1" applyBorder="1" applyAlignment="1">
      <alignment wrapText="1"/>
    </xf>
    <xf numFmtId="0" fontId="13" fillId="12" borderId="2" xfId="0" applyFont="1" applyFill="1" applyBorder="1" applyAlignment="1">
      <alignment wrapText="1"/>
    </xf>
    <xf numFmtId="0" fontId="13" fillId="12" borderId="16" xfId="0" applyFont="1" applyFill="1" applyBorder="1" applyAlignment="1">
      <alignment wrapText="1"/>
    </xf>
    <xf numFmtId="0" fontId="0" fillId="0" borderId="29" xfId="0" applyBorder="1"/>
    <xf numFmtId="3" fontId="0" fillId="0" borderId="29" xfId="0" applyNumberFormat="1" applyBorder="1"/>
    <xf numFmtId="3" fontId="0" fillId="3" borderId="29" xfId="0" applyNumberFormat="1" applyFill="1" applyBorder="1"/>
    <xf numFmtId="38" fontId="16" fillId="3" borderId="1" xfId="1" applyFont="1" applyFill="1" applyBorder="1">
      <alignment vertical="center"/>
    </xf>
    <xf numFmtId="176" fontId="3" fillId="0" borderId="30" xfId="1" applyNumberFormat="1" applyFont="1" applyBorder="1">
      <alignment vertical="center"/>
    </xf>
    <xf numFmtId="38" fontId="3" fillId="0" borderId="30" xfId="1" applyFont="1" applyBorder="1" applyAlignment="1">
      <alignment horizontal="center" vertical="center"/>
    </xf>
    <xf numFmtId="176" fontId="3" fillId="2" borderId="0" xfId="1" applyNumberFormat="1" applyFont="1" applyFill="1">
      <alignment vertical="center"/>
    </xf>
    <xf numFmtId="38" fontId="3" fillId="2" borderId="0" xfId="1" applyFont="1" applyFill="1" applyAlignment="1">
      <alignment horizontal="center" vertical="center"/>
    </xf>
    <xf numFmtId="178" fontId="3" fillId="0" borderId="0" xfId="1" applyNumberFormat="1" applyFont="1">
      <alignment vertical="center"/>
    </xf>
    <xf numFmtId="9" fontId="3" fillId="0" borderId="0" xfId="1" applyNumberFormat="1" applyFont="1">
      <alignment vertical="center"/>
    </xf>
    <xf numFmtId="178" fontId="3" fillId="15" borderId="0" xfId="1" applyNumberFormat="1" applyFont="1" applyFill="1">
      <alignment vertical="center"/>
    </xf>
    <xf numFmtId="9" fontId="3" fillId="15" borderId="0" xfId="1" applyNumberFormat="1" applyFont="1" applyFill="1">
      <alignment vertical="center"/>
    </xf>
    <xf numFmtId="178" fontId="3" fillId="17" borderId="0" xfId="1" applyNumberFormat="1" applyFont="1" applyFill="1">
      <alignment vertical="center"/>
    </xf>
    <xf numFmtId="179" fontId="3" fillId="0" borderId="0" xfId="1" applyNumberFormat="1" applyFont="1" applyAlignment="1">
      <alignment horizontal="center" vertical="center"/>
    </xf>
    <xf numFmtId="179" fontId="3" fillId="0" borderId="0" xfId="1" applyNumberFormat="1" applyFont="1">
      <alignment vertical="center"/>
    </xf>
    <xf numFmtId="179" fontId="3" fillId="15" borderId="0" xfId="1" applyNumberFormat="1" applyFont="1" applyFill="1">
      <alignment vertical="center"/>
    </xf>
    <xf numFmtId="179" fontId="3" fillId="0" borderId="1" xfId="1" applyNumberFormat="1" applyFont="1" applyBorder="1">
      <alignment vertical="center"/>
    </xf>
    <xf numFmtId="179" fontId="3" fillId="0" borderId="1" xfId="1" applyNumberFormat="1" applyFont="1" applyBorder="1" applyAlignment="1">
      <alignment horizontal="center" vertical="center"/>
    </xf>
    <xf numFmtId="179" fontId="3" fillId="0" borderId="3" xfId="1" applyNumberFormat="1" applyFont="1" applyBorder="1">
      <alignment vertical="center"/>
    </xf>
    <xf numFmtId="179" fontId="3" fillId="0" borderId="4" xfId="1" applyNumberFormat="1" applyFont="1" applyBorder="1">
      <alignment vertical="center"/>
    </xf>
    <xf numFmtId="179" fontId="3" fillId="2" borderId="5" xfId="1" applyNumberFormat="1" applyFont="1" applyFill="1" applyBorder="1">
      <alignment vertical="center"/>
    </xf>
    <xf numFmtId="179" fontId="3" fillId="0" borderId="5" xfId="1" applyNumberFormat="1" applyFont="1" applyBorder="1" applyAlignment="1">
      <alignment horizontal="center" vertical="center"/>
    </xf>
    <xf numFmtId="179" fontId="3" fillId="0" borderId="5" xfId="1" applyNumberFormat="1" applyFont="1" applyBorder="1">
      <alignment vertical="center"/>
    </xf>
    <xf numFmtId="179" fontId="3" fillId="2" borderId="6" xfId="1" applyNumberFormat="1" applyFont="1" applyFill="1" applyBorder="1">
      <alignment vertical="center"/>
    </xf>
    <xf numFmtId="179" fontId="3" fillId="0" borderId="6" xfId="1" applyNumberFormat="1" applyFont="1" applyBorder="1" applyAlignment="1">
      <alignment horizontal="center" vertical="center"/>
    </xf>
    <xf numFmtId="179" fontId="3" fillId="0" borderId="6" xfId="1" applyNumberFormat="1" applyFont="1" applyBorder="1">
      <alignment vertical="center"/>
    </xf>
    <xf numFmtId="179" fontId="3" fillId="2" borderId="7" xfId="1" applyNumberFormat="1" applyFont="1" applyFill="1" applyBorder="1">
      <alignment vertical="center"/>
    </xf>
    <xf numFmtId="179" fontId="3" fillId="0" borderId="7" xfId="1" applyNumberFormat="1" applyFont="1" applyBorder="1" applyAlignment="1">
      <alignment horizontal="center" vertical="center"/>
    </xf>
    <xf numFmtId="179" fontId="3" fillId="0" borderId="7" xfId="1" applyNumberFormat="1" applyFont="1" applyBorder="1">
      <alignment vertical="center"/>
    </xf>
    <xf numFmtId="179" fontId="3" fillId="0" borderId="2" xfId="1" applyNumberFormat="1" applyFont="1" applyBorder="1">
      <alignment vertical="center"/>
    </xf>
    <xf numFmtId="179" fontId="3" fillId="0" borderId="0" xfId="1" quotePrefix="1" applyNumberFormat="1" applyFont="1">
      <alignment vertical="center"/>
    </xf>
    <xf numFmtId="179" fontId="3" fillId="0" borderId="8" xfId="1" applyNumberFormat="1" applyFont="1" applyBorder="1">
      <alignment vertical="center"/>
    </xf>
    <xf numFmtId="179" fontId="3" fillId="3" borderId="1" xfId="1" applyNumberFormat="1" applyFont="1" applyFill="1" applyBorder="1">
      <alignment vertical="center"/>
    </xf>
    <xf numFmtId="179" fontId="3" fillId="16" borderId="0" xfId="1" applyNumberFormat="1" applyFont="1" applyFill="1">
      <alignment vertical="center"/>
    </xf>
    <xf numFmtId="178" fontId="3" fillId="0" borderId="0" xfId="1" applyNumberFormat="1" applyFont="1" applyAlignment="1">
      <alignment horizontal="right" vertical="center"/>
    </xf>
    <xf numFmtId="180" fontId="3" fillId="15" borderId="0" xfId="1" applyNumberFormat="1" applyFont="1" applyFill="1">
      <alignment vertical="center"/>
    </xf>
    <xf numFmtId="3" fontId="7" fillId="0" borderId="1" xfId="0" applyNumberFormat="1" applyFont="1" applyBorder="1" applyAlignment="1">
      <alignment vertical="center"/>
    </xf>
    <xf numFmtId="3" fontId="7" fillId="8" borderId="5" xfId="0" applyNumberFormat="1" applyFont="1" applyFill="1" applyBorder="1" applyAlignment="1">
      <alignment vertical="center"/>
    </xf>
    <xf numFmtId="3" fontId="7" fillId="0" borderId="5" xfId="0" applyNumberFormat="1" applyFont="1" applyBorder="1" applyAlignment="1">
      <alignment vertical="center"/>
    </xf>
    <xf numFmtId="3" fontId="7" fillId="8" borderId="6" xfId="0" applyNumberFormat="1" applyFont="1" applyFill="1" applyBorder="1" applyAlignment="1">
      <alignment vertical="center"/>
    </xf>
    <xf numFmtId="3" fontId="7" fillId="0" borderId="6" xfId="0" applyNumberFormat="1" applyFont="1" applyBorder="1" applyAlignment="1">
      <alignment vertical="center"/>
    </xf>
    <xf numFmtId="0" fontId="7" fillId="8" borderId="6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8" borderId="7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8" borderId="5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8" borderId="20" xfId="0" applyFont="1" applyFill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3" fontId="7" fillId="0" borderId="7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3" fontId="7" fillId="0" borderId="31" xfId="0" applyNumberFormat="1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3" fontId="7" fillId="0" borderId="30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38" fontId="0" fillId="0" borderId="2" xfId="0" applyNumberFormat="1" applyBorder="1" applyAlignment="1">
      <alignment vertical="center"/>
    </xf>
    <xf numFmtId="0" fontId="14" fillId="13" borderId="3" xfId="0" applyFont="1" applyFill="1" applyBorder="1" applyAlignment="1">
      <alignment wrapText="1"/>
    </xf>
    <xf numFmtId="3" fontId="14" fillId="13" borderId="12" xfId="0" applyNumberFormat="1" applyFont="1" applyFill="1" applyBorder="1" applyAlignment="1">
      <alignment wrapText="1"/>
    </xf>
    <xf numFmtId="3" fontId="13" fillId="0" borderId="12" xfId="0" applyNumberFormat="1" applyFont="1" applyBorder="1" applyAlignment="1">
      <alignment wrapText="1"/>
    </xf>
    <xf numFmtId="178" fontId="0" fillId="0" borderId="0" xfId="0" applyNumberFormat="1"/>
    <xf numFmtId="9" fontId="0" fillId="0" borderId="0" xfId="0" applyNumberFormat="1"/>
    <xf numFmtId="0" fontId="3" fillId="0" borderId="0" xfId="1" applyNumberFormat="1" applyFont="1">
      <alignment vertical="center"/>
    </xf>
    <xf numFmtId="181" fontId="3" fillId="0" borderId="0" xfId="1" applyNumberFormat="1" applyFont="1">
      <alignment vertical="center"/>
    </xf>
    <xf numFmtId="181" fontId="3" fillId="0" borderId="0" xfId="1" applyNumberFormat="1" applyFont="1" applyAlignment="1">
      <alignment horizontal="right"/>
    </xf>
    <xf numFmtId="41" fontId="3" fillId="0" borderId="0" xfId="1" applyNumberFormat="1" applyFont="1">
      <alignment vertical="center"/>
    </xf>
    <xf numFmtId="176" fontId="16" fillId="0" borderId="6" xfId="1" applyNumberFormat="1" applyFont="1" applyBorder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13" fillId="12" borderId="3" xfId="0" applyFont="1" applyFill="1" applyBorder="1" applyAlignment="1">
      <alignment wrapText="1"/>
    </xf>
    <xf numFmtId="0" fontId="14" fillId="13" borderId="12" xfId="0" applyFont="1" applyFill="1" applyBorder="1" applyAlignment="1">
      <alignment wrapText="1"/>
    </xf>
    <xf numFmtId="0" fontId="15" fillId="14" borderId="7" xfId="0" applyFont="1" applyFill="1" applyBorder="1" applyAlignment="1">
      <alignment wrapText="1"/>
    </xf>
    <xf numFmtId="3" fontId="15" fillId="14" borderId="19" xfId="0" applyNumberFormat="1" applyFont="1" applyFill="1" applyBorder="1" applyAlignment="1">
      <alignment wrapText="1"/>
    </xf>
    <xf numFmtId="3" fontId="13" fillId="0" borderId="19" xfId="0" applyNumberFormat="1" applyFont="1" applyBorder="1" applyAlignment="1">
      <alignment wrapText="1"/>
    </xf>
    <xf numFmtId="3" fontId="17" fillId="3" borderId="29" xfId="0" applyNumberFormat="1" applyFont="1" applyFill="1" applyBorder="1"/>
    <xf numFmtId="3" fontId="0" fillId="0" borderId="0" xfId="0" applyNumberFormat="1"/>
    <xf numFmtId="179" fontId="3" fillId="15" borderId="0" xfId="1" applyNumberFormat="1" applyFont="1" applyFill="1" applyAlignment="1">
      <alignment horizontal="right" vertical="center"/>
    </xf>
    <xf numFmtId="182" fontId="3" fillId="0" borderId="0" xfId="1" applyNumberFormat="1" applyFont="1">
      <alignment vertical="center"/>
    </xf>
    <xf numFmtId="183" fontId="3" fillId="0" borderId="0" xfId="1" applyNumberFormat="1" applyFont="1">
      <alignment vertical="center"/>
    </xf>
    <xf numFmtId="1" fontId="7" fillId="0" borderId="1" xfId="0" applyNumberFormat="1" applyFont="1" applyBorder="1" applyAlignment="1">
      <alignment vertical="center"/>
    </xf>
    <xf numFmtId="38" fontId="7" fillId="0" borderId="6" xfId="0" applyNumberFormat="1" applyFont="1" applyBorder="1" applyAlignment="1">
      <alignment vertical="center"/>
    </xf>
    <xf numFmtId="0" fontId="18" fillId="0" borderId="0" xfId="0" applyFont="1"/>
    <xf numFmtId="38" fontId="3" fillId="19" borderId="5" xfId="0" applyNumberFormat="1" applyFont="1" applyFill="1" applyBorder="1" applyAlignment="1">
      <alignment vertical="center"/>
    </xf>
    <xf numFmtId="38" fontId="3" fillId="19" borderId="6" xfId="0" applyNumberFormat="1" applyFont="1" applyFill="1" applyBorder="1" applyAlignment="1">
      <alignment vertical="center"/>
    </xf>
    <xf numFmtId="38" fontId="3" fillId="19" borderId="7" xfId="0" applyNumberFormat="1" applyFont="1" applyFill="1" applyBorder="1" applyAlignment="1">
      <alignment vertical="center"/>
    </xf>
    <xf numFmtId="0" fontId="19" fillId="3" borderId="6" xfId="3" applyFont="1" applyFill="1" applyBorder="1" applyAlignment="1">
      <alignment horizontal="center" vertical="center"/>
    </xf>
    <xf numFmtId="38" fontId="20" fillId="3" borderId="6" xfId="3" applyNumberFormat="1" applyFont="1" applyFill="1" applyBorder="1">
      <alignment vertical="center"/>
    </xf>
    <xf numFmtId="0" fontId="19" fillId="3" borderId="4" xfId="3" applyFont="1" applyFill="1" applyBorder="1" applyAlignment="1">
      <alignment horizontal="center" vertical="center"/>
    </xf>
    <xf numFmtId="38" fontId="8" fillId="4" borderId="6" xfId="3" applyNumberFormat="1" applyFill="1" applyBorder="1">
      <alignment vertical="center"/>
    </xf>
    <xf numFmtId="38" fontId="21" fillId="4" borderId="6" xfId="3" applyNumberFormat="1" applyFont="1" applyFill="1" applyBorder="1">
      <alignment vertical="center"/>
    </xf>
    <xf numFmtId="38" fontId="21" fillId="5" borderId="32" xfId="3" applyNumberFormat="1" applyFont="1" applyFill="1" applyBorder="1">
      <alignment vertical="center"/>
    </xf>
    <xf numFmtId="38" fontId="8" fillId="5" borderId="33" xfId="3" applyNumberFormat="1" applyFill="1" applyBorder="1">
      <alignment vertical="center"/>
    </xf>
    <xf numFmtId="38" fontId="8" fillId="5" borderId="32" xfId="3" applyNumberFormat="1" applyFill="1" applyBorder="1">
      <alignment vertical="center"/>
    </xf>
    <xf numFmtId="0" fontId="19" fillId="3" borderId="6" xfId="3" applyFont="1" applyFill="1" applyBorder="1" applyAlignment="1"/>
    <xf numFmtId="38" fontId="15" fillId="14" borderId="19" xfId="0" applyNumberFormat="1" applyFont="1" applyFill="1" applyBorder="1" applyAlignment="1">
      <alignment wrapText="1"/>
    </xf>
    <xf numFmtId="38" fontId="20" fillId="0" borderId="6" xfId="3" applyNumberFormat="1" applyFont="1" applyFill="1" applyBorder="1">
      <alignment vertical="center"/>
    </xf>
    <xf numFmtId="184" fontId="0" fillId="0" borderId="0" xfId="0" applyNumberFormat="1"/>
    <xf numFmtId="176" fontId="7" fillId="0" borderId="0" xfId="1" applyNumberFormat="1" applyFont="1">
      <alignment vertical="center"/>
    </xf>
    <xf numFmtId="3" fontId="22" fillId="0" borderId="0" xfId="0" applyNumberFormat="1" applyFont="1"/>
    <xf numFmtId="41" fontId="3" fillId="0" borderId="0" xfId="0" applyNumberFormat="1" applyFont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177" fontId="3" fillId="0" borderId="38" xfId="0" applyNumberFormat="1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177" fontId="3" fillId="0" borderId="40" xfId="0" applyNumberFormat="1" applyFont="1" applyBorder="1" applyAlignment="1">
      <alignment vertical="center"/>
    </xf>
    <xf numFmtId="41" fontId="3" fillId="0" borderId="40" xfId="0" applyNumberFormat="1" applyFont="1" applyBorder="1" applyAlignment="1">
      <alignment vertical="center"/>
    </xf>
    <xf numFmtId="177" fontId="3" fillId="0" borderId="41" xfId="0" applyNumberFormat="1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2" fillId="11" borderId="42" xfId="0" applyFont="1" applyFill="1" applyBorder="1" applyAlignment="1">
      <alignment wrapText="1"/>
    </xf>
    <xf numFmtId="0" fontId="12" fillId="11" borderId="43" xfId="0" applyFont="1" applyFill="1" applyBorder="1" applyAlignment="1">
      <alignment wrapText="1"/>
    </xf>
    <xf numFmtId="0" fontId="12" fillId="11" borderId="44" xfId="0" applyFont="1" applyFill="1" applyBorder="1" applyAlignment="1">
      <alignment wrapText="1"/>
    </xf>
    <xf numFmtId="0" fontId="13" fillId="12" borderId="45" xfId="0" applyFont="1" applyFill="1" applyBorder="1" applyAlignment="1">
      <alignment wrapText="1"/>
    </xf>
    <xf numFmtId="3" fontId="0" fillId="0" borderId="46" xfId="0" applyNumberFormat="1" applyBorder="1"/>
    <xf numFmtId="0" fontId="0" fillId="0" borderId="45" xfId="0" applyBorder="1"/>
    <xf numFmtId="0" fontId="13" fillId="12" borderId="47" xfId="0" applyFont="1" applyFill="1" applyBorder="1" applyAlignment="1">
      <alignment wrapText="1"/>
    </xf>
    <xf numFmtId="0" fontId="0" fillId="0" borderId="48" xfId="0" applyBorder="1"/>
    <xf numFmtId="3" fontId="0" fillId="0" borderId="48" xfId="0" applyNumberFormat="1" applyBorder="1"/>
    <xf numFmtId="3" fontId="0" fillId="0" borderId="49" xfId="0" applyNumberFormat="1" applyBorder="1"/>
    <xf numFmtId="0" fontId="0" fillId="0" borderId="17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3" fontId="0" fillId="0" borderId="6" xfId="0" applyNumberFormat="1" applyBorder="1"/>
    <xf numFmtId="0" fontId="0" fillId="0" borderId="11" xfId="0" applyBorder="1"/>
    <xf numFmtId="0" fontId="0" fillId="0" borderId="31" xfId="0" applyBorder="1"/>
    <xf numFmtId="0" fontId="0" fillId="0" borderId="3" xfId="0" applyBorder="1"/>
    <xf numFmtId="3" fontId="0" fillId="0" borderId="5" xfId="0" applyNumberFormat="1" applyBorder="1"/>
    <xf numFmtId="0" fontId="0" fillId="0" borderId="53" xfId="0" applyBorder="1"/>
    <xf numFmtId="0" fontId="0" fillId="0" borderId="54" xfId="0" applyBorder="1"/>
    <xf numFmtId="3" fontId="0" fillId="0" borderId="20" xfId="0" applyNumberFormat="1" applyBorder="1"/>
    <xf numFmtId="3" fontId="0" fillId="0" borderId="3" xfId="0" applyNumberFormat="1" applyBorder="1"/>
    <xf numFmtId="0" fontId="0" fillId="0" borderId="15" xfId="0" applyBorder="1"/>
    <xf numFmtId="0" fontId="0" fillId="0" borderId="30" xfId="0" applyBorder="1"/>
    <xf numFmtId="3" fontId="0" fillId="0" borderId="2" xfId="0" applyNumberFormat="1" applyBorder="1"/>
    <xf numFmtId="0" fontId="0" fillId="0" borderId="8" xfId="0" applyBorder="1"/>
    <xf numFmtId="0" fontId="0" fillId="0" borderId="10" xfId="0" applyBorder="1"/>
    <xf numFmtId="3" fontId="0" fillId="0" borderId="1" xfId="0" applyNumberFormat="1" applyBorder="1"/>
    <xf numFmtId="0" fontId="0" fillId="17" borderId="3" xfId="0" applyFill="1" applyBorder="1"/>
    <xf numFmtId="3" fontId="0" fillId="17" borderId="5" xfId="0" applyNumberFormat="1" applyFill="1" applyBorder="1"/>
    <xf numFmtId="3" fontId="0" fillId="17" borderId="6" xfId="0" applyNumberFormat="1" applyFill="1" applyBorder="1"/>
    <xf numFmtId="3" fontId="0" fillId="17" borderId="20" xfId="0" applyNumberFormat="1" applyFill="1" applyBorder="1"/>
    <xf numFmtId="3" fontId="0" fillId="17" borderId="3" xfId="0" applyNumberFormat="1" applyFill="1" applyBorder="1"/>
    <xf numFmtId="3" fontId="0" fillId="17" borderId="1" xfId="0" applyNumberFormat="1" applyFill="1" applyBorder="1"/>
    <xf numFmtId="0" fontId="0" fillId="20" borderId="3" xfId="0" applyFill="1" applyBorder="1"/>
    <xf numFmtId="3" fontId="0" fillId="20" borderId="5" xfId="0" applyNumberFormat="1" applyFill="1" applyBorder="1"/>
    <xf numFmtId="3" fontId="0" fillId="20" borderId="6" xfId="0" applyNumberFormat="1" applyFill="1" applyBorder="1"/>
    <xf numFmtId="3" fontId="0" fillId="20" borderId="20" xfId="0" applyNumberFormat="1" applyFill="1" applyBorder="1"/>
    <xf numFmtId="3" fontId="0" fillId="20" borderId="1" xfId="0" applyNumberFormat="1" applyFill="1" applyBorder="1"/>
    <xf numFmtId="3" fontId="22" fillId="20" borderId="3" xfId="0" applyNumberFormat="1" applyFont="1" applyFill="1" applyBorder="1"/>
    <xf numFmtId="3" fontId="22" fillId="20" borderId="2" xfId="0" applyNumberFormat="1" applyFont="1" applyFill="1" applyBorder="1"/>
    <xf numFmtId="0" fontId="19" fillId="3" borderId="20" xfId="3" applyFont="1" applyFill="1" applyBorder="1" applyAlignment="1">
      <alignment horizontal="center" vertical="center"/>
    </xf>
    <xf numFmtId="0" fontId="11" fillId="10" borderId="2" xfId="4" applyFont="1" applyBorder="1" applyAlignment="1">
      <alignment horizontal="center" vertical="center"/>
    </xf>
    <xf numFmtId="38" fontId="8" fillId="4" borderId="56" xfId="3" applyNumberFormat="1" applyFill="1" applyBorder="1">
      <alignment vertical="center"/>
    </xf>
    <xf numFmtId="0" fontId="22" fillId="0" borderId="0" xfId="0" applyFont="1"/>
    <xf numFmtId="0" fontId="16" fillId="0" borderId="1" xfId="3" applyFont="1" applyFill="1" applyBorder="1" applyAlignment="1">
      <alignment horizontal="center" vertical="center"/>
    </xf>
    <xf numFmtId="38" fontId="24" fillId="0" borderId="1" xfId="3" applyNumberFormat="1" applyFont="1" applyFill="1" applyBorder="1">
      <alignment vertical="center"/>
    </xf>
    <xf numFmtId="38" fontId="24" fillId="4" borderId="1" xfId="3" applyNumberFormat="1" applyFont="1" applyFill="1" applyBorder="1">
      <alignment vertical="center"/>
    </xf>
    <xf numFmtId="0" fontId="16" fillId="0" borderId="1" xfId="0" applyFont="1" applyBorder="1" applyAlignment="1">
      <alignment horizontal="center" vertical="center"/>
    </xf>
    <xf numFmtId="38" fontId="16" fillId="0" borderId="1" xfId="0" applyNumberFormat="1" applyFont="1" applyBorder="1" applyAlignment="1">
      <alignment vertical="center"/>
    </xf>
    <xf numFmtId="38" fontId="24" fillId="4" borderId="7" xfId="4" applyNumberFormat="1" applyFont="1" applyFill="1" applyBorder="1">
      <alignment vertical="center"/>
    </xf>
    <xf numFmtId="0" fontId="16" fillId="0" borderId="27" xfId="0" applyFont="1" applyBorder="1" applyAlignment="1">
      <alignment horizontal="center" vertical="center"/>
    </xf>
    <xf numFmtId="177" fontId="16" fillId="0" borderId="27" xfId="2" applyNumberFormat="1" applyFont="1" applyBorder="1">
      <alignment vertical="center"/>
    </xf>
    <xf numFmtId="177" fontId="16" fillId="4" borderId="27" xfId="2" applyNumberFormat="1" applyFont="1" applyFill="1" applyBorder="1">
      <alignment vertical="center"/>
    </xf>
    <xf numFmtId="177" fontId="16" fillId="5" borderId="28" xfId="2" applyNumberFormat="1" applyFont="1" applyFill="1" applyBorder="1">
      <alignment vertical="center"/>
    </xf>
    <xf numFmtId="0" fontId="25" fillId="0" borderId="1" xfId="0" applyFont="1" applyBorder="1" applyAlignment="1">
      <alignment horizontal="center" vertical="center"/>
    </xf>
    <xf numFmtId="38" fontId="25" fillId="0" borderId="1" xfId="0" applyNumberFormat="1" applyFont="1" applyBorder="1" applyAlignment="1">
      <alignment vertical="center"/>
    </xf>
    <xf numFmtId="0" fontId="25" fillId="0" borderId="27" xfId="0" applyFont="1" applyBorder="1" applyAlignment="1">
      <alignment horizontal="center" vertical="center"/>
    </xf>
    <xf numFmtId="177" fontId="25" fillId="0" borderId="27" xfId="2" applyNumberFormat="1" applyFont="1" applyBorder="1">
      <alignment vertical="center"/>
    </xf>
    <xf numFmtId="177" fontId="25" fillId="4" borderId="27" xfId="2" applyNumberFormat="1" applyFont="1" applyFill="1" applyBorder="1">
      <alignment vertical="center"/>
    </xf>
    <xf numFmtId="177" fontId="25" fillId="5" borderId="28" xfId="2" applyNumberFormat="1" applyFont="1" applyFill="1" applyBorder="1">
      <alignment vertical="center"/>
    </xf>
    <xf numFmtId="38" fontId="10" fillId="9" borderId="5" xfId="3" applyNumberFormat="1" applyFont="1" applyBorder="1">
      <alignment vertical="center"/>
    </xf>
    <xf numFmtId="38" fontId="10" fillId="4" borderId="5" xfId="3" applyNumberFormat="1" applyFont="1" applyFill="1" applyBorder="1">
      <alignment vertical="center"/>
    </xf>
    <xf numFmtId="38" fontId="19" fillId="3" borderId="20" xfId="3" applyNumberFormat="1" applyFont="1" applyFill="1" applyBorder="1">
      <alignment vertical="center"/>
    </xf>
    <xf numFmtId="38" fontId="19" fillId="4" borderId="20" xfId="3" applyNumberFormat="1" applyFont="1" applyFill="1" applyBorder="1">
      <alignment vertical="center"/>
    </xf>
    <xf numFmtId="38" fontId="16" fillId="0" borderId="1" xfId="3" applyNumberFormat="1" applyFont="1" applyFill="1" applyBorder="1">
      <alignment vertical="center"/>
    </xf>
    <xf numFmtId="38" fontId="16" fillId="4" borderId="1" xfId="3" applyNumberFormat="1" applyFont="1" applyFill="1" applyBorder="1">
      <alignment vertical="center"/>
    </xf>
    <xf numFmtId="38" fontId="11" fillId="10" borderId="2" xfId="4" applyNumberFormat="1" applyFont="1" applyBorder="1">
      <alignment vertical="center"/>
    </xf>
    <xf numFmtId="38" fontId="11" fillId="4" borderId="2" xfId="4" applyNumberFormat="1" applyFont="1" applyFill="1" applyBorder="1">
      <alignment vertical="center"/>
    </xf>
    <xf numFmtId="38" fontId="16" fillId="4" borderId="7" xfId="4" applyNumberFormat="1" applyFont="1" applyFill="1" applyBorder="1">
      <alignment vertical="center"/>
    </xf>
    <xf numFmtId="38" fontId="19" fillId="3" borderId="6" xfId="3" applyNumberFormat="1" applyFont="1" applyFill="1" applyBorder="1">
      <alignment vertical="center"/>
    </xf>
    <xf numFmtId="38" fontId="19" fillId="4" borderId="6" xfId="3" applyNumberFormat="1" applyFont="1" applyFill="1" applyBorder="1">
      <alignment vertical="center"/>
    </xf>
    <xf numFmtId="38" fontId="11" fillId="10" borderId="7" xfId="4" applyNumberFormat="1" applyFont="1" applyBorder="1">
      <alignment vertical="center"/>
    </xf>
    <xf numFmtId="38" fontId="11" fillId="4" borderId="7" xfId="4" applyNumberFormat="1" applyFont="1" applyFill="1" applyBorder="1">
      <alignment vertical="center"/>
    </xf>
    <xf numFmtId="38" fontId="19" fillId="3" borderId="4" xfId="3" applyNumberFormat="1" applyFont="1" applyFill="1" applyBorder="1">
      <alignment vertical="center"/>
    </xf>
    <xf numFmtId="38" fontId="19" fillId="4" borderId="4" xfId="3" applyNumberFormat="1" applyFont="1" applyFill="1" applyBorder="1">
      <alignment vertical="center"/>
    </xf>
    <xf numFmtId="3" fontId="11" fillId="10" borderId="7" xfId="4" applyNumberFormat="1" applyFont="1" applyBorder="1">
      <alignment vertical="center"/>
    </xf>
    <xf numFmtId="38" fontId="10" fillId="9" borderId="22" xfId="3" applyNumberFormat="1" applyFont="1" applyBorder="1">
      <alignment vertical="center"/>
    </xf>
    <xf numFmtId="38" fontId="10" fillId="4" borderId="22" xfId="3" applyNumberFormat="1" applyFont="1" applyFill="1" applyBorder="1">
      <alignment vertical="center"/>
    </xf>
    <xf numFmtId="38" fontId="10" fillId="5" borderId="33" xfId="3" applyNumberFormat="1" applyFont="1" applyFill="1" applyBorder="1">
      <alignment vertical="center"/>
    </xf>
    <xf numFmtId="38" fontId="19" fillId="3" borderId="6" xfId="4" applyNumberFormat="1" applyFont="1" applyFill="1" applyBorder="1">
      <alignment vertical="center"/>
    </xf>
    <xf numFmtId="38" fontId="19" fillId="4" borderId="6" xfId="4" applyNumberFormat="1" applyFont="1" applyFill="1" applyBorder="1">
      <alignment vertical="center"/>
    </xf>
    <xf numFmtId="38" fontId="19" fillId="5" borderId="32" xfId="3" applyNumberFormat="1" applyFont="1" applyFill="1" applyBorder="1">
      <alignment vertical="center"/>
    </xf>
    <xf numFmtId="38" fontId="11" fillId="5" borderId="55" xfId="4" applyNumberFormat="1" applyFont="1" applyFill="1" applyBorder="1">
      <alignment vertical="center"/>
    </xf>
    <xf numFmtId="38" fontId="0" fillId="0" borderId="0" xfId="0" applyNumberFormat="1"/>
    <xf numFmtId="0" fontId="12" fillId="0" borderId="0" xfId="0" applyFont="1" applyAlignment="1">
      <alignment wrapText="1"/>
    </xf>
    <xf numFmtId="3" fontId="13" fillId="0" borderId="0" xfId="0" applyNumberFormat="1" applyFont="1" applyAlignment="1">
      <alignment wrapText="1"/>
    </xf>
    <xf numFmtId="38" fontId="20" fillId="0" borderId="0" xfId="3" applyNumberFormat="1" applyFont="1" applyFill="1">
      <alignment vertical="center"/>
    </xf>
    <xf numFmtId="0" fontId="26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27" fillId="0" borderId="0" xfId="0" applyFont="1"/>
    <xf numFmtId="3" fontId="27" fillId="0" borderId="0" xfId="0" applyNumberFormat="1" applyFont="1"/>
    <xf numFmtId="0" fontId="26" fillId="0" borderId="0" xfId="0" applyFont="1" applyAlignment="1">
      <alignment horizontal="center" vertical="center" wrapText="1"/>
    </xf>
    <xf numFmtId="184" fontId="27" fillId="0" borderId="0" xfId="0" applyNumberFormat="1" applyFont="1"/>
    <xf numFmtId="0" fontId="22" fillId="0" borderId="0" xfId="0" applyFont="1" applyAlignment="1">
      <alignment horizontal="center"/>
    </xf>
    <xf numFmtId="184" fontId="22" fillId="0" borderId="0" xfId="0" applyNumberFormat="1" applyFont="1"/>
    <xf numFmtId="0" fontId="28" fillId="0" borderId="0" xfId="0" applyFont="1" applyAlignment="1">
      <alignment horizontal="center"/>
    </xf>
    <xf numFmtId="184" fontId="28" fillId="0" borderId="0" xfId="0" applyNumberFormat="1" applyFont="1"/>
    <xf numFmtId="0" fontId="27" fillId="0" borderId="12" xfId="0" applyFont="1" applyBorder="1"/>
    <xf numFmtId="0" fontId="0" fillId="0" borderId="13" xfId="0" applyBorder="1"/>
    <xf numFmtId="3" fontId="27" fillId="0" borderId="14" xfId="0" applyNumberFormat="1" applyFont="1" applyBorder="1"/>
    <xf numFmtId="9" fontId="0" fillId="0" borderId="30" xfId="0" applyNumberFormat="1" applyBorder="1"/>
    <xf numFmtId="3" fontId="0" fillId="0" borderId="30" xfId="0" applyNumberFormat="1" applyBorder="1"/>
    <xf numFmtId="3" fontId="27" fillId="0" borderId="16" xfId="0" applyNumberFormat="1" applyFont="1" applyBorder="1"/>
    <xf numFmtId="3" fontId="23" fillId="0" borderId="0" xfId="0" applyNumberFormat="1" applyFont="1"/>
    <xf numFmtId="38" fontId="3" fillId="2" borderId="20" xfId="1" applyFont="1" applyFill="1" applyBorder="1">
      <alignment vertical="center"/>
    </xf>
    <xf numFmtId="3" fontId="7" fillId="0" borderId="20" xfId="0" applyNumberFormat="1" applyFont="1" applyBorder="1" applyAlignment="1">
      <alignment vertical="center"/>
    </xf>
    <xf numFmtId="38" fontId="16" fillId="2" borderId="6" xfId="1" applyFont="1" applyFill="1" applyBorder="1">
      <alignment vertical="center"/>
    </xf>
    <xf numFmtId="38" fontId="16" fillId="0" borderId="6" xfId="1" applyFont="1" applyBorder="1">
      <alignment vertical="center"/>
    </xf>
    <xf numFmtId="38" fontId="16" fillId="19" borderId="57" xfId="3" applyNumberFormat="1" applyFont="1" applyFill="1" applyBorder="1">
      <alignment vertical="center"/>
    </xf>
    <xf numFmtId="38" fontId="16" fillId="5" borderId="25" xfId="4" applyNumberFormat="1" applyFont="1" applyFill="1" applyBorder="1">
      <alignment vertical="center"/>
    </xf>
    <xf numFmtId="38" fontId="24" fillId="19" borderId="57" xfId="3" applyNumberFormat="1" applyFont="1" applyFill="1" applyBorder="1">
      <alignment vertical="center"/>
    </xf>
    <xf numFmtId="38" fontId="24" fillId="5" borderId="25" xfId="4" applyNumberFormat="1" applyFont="1" applyFill="1" applyBorder="1">
      <alignment vertical="center"/>
    </xf>
    <xf numFmtId="3" fontId="0" fillId="3" borderId="48" xfId="0" applyNumberFormat="1" applyFill="1" applyBorder="1"/>
    <xf numFmtId="0" fontId="29" fillId="10" borderId="20" xfId="4" applyFont="1" applyBorder="1" applyAlignment="1">
      <alignment horizontal="center" vertical="center"/>
    </xf>
    <xf numFmtId="38" fontId="30" fillId="10" borderId="20" xfId="4" applyNumberFormat="1" applyFont="1" applyBorder="1">
      <alignment vertical="center"/>
    </xf>
    <xf numFmtId="38" fontId="30" fillId="4" borderId="20" xfId="4" applyNumberFormat="1" applyFont="1" applyFill="1" applyBorder="1">
      <alignment vertical="center"/>
    </xf>
    <xf numFmtId="38" fontId="30" fillId="5" borderId="58" xfId="3" applyNumberFormat="1" applyFont="1" applyFill="1" applyBorder="1">
      <alignment vertical="center"/>
    </xf>
    <xf numFmtId="38" fontId="25" fillId="4" borderId="1" xfId="4" applyNumberFormat="1" applyFont="1" applyFill="1" applyBorder="1">
      <alignment vertical="center"/>
    </xf>
    <xf numFmtId="38" fontId="25" fillId="5" borderId="57" xfId="4" applyNumberFormat="1" applyFont="1" applyFill="1" applyBorder="1">
      <alignment vertical="center"/>
    </xf>
    <xf numFmtId="0" fontId="4" fillId="6" borderId="59" xfId="0" applyFont="1" applyFill="1" applyBorder="1" applyAlignment="1">
      <alignment vertical="center"/>
    </xf>
    <xf numFmtId="0" fontId="4" fillId="6" borderId="60" xfId="0" applyFont="1" applyFill="1" applyBorder="1" applyAlignment="1">
      <alignment horizontal="center" vertical="center"/>
    </xf>
    <xf numFmtId="38" fontId="4" fillId="6" borderId="60" xfId="1" applyFont="1" applyFill="1" applyBorder="1" applyAlignment="1">
      <alignment horizontal="center" vertical="center"/>
    </xf>
    <xf numFmtId="38" fontId="4" fillId="6" borderId="61" xfId="1" applyFont="1" applyFill="1" applyBorder="1" applyAlignment="1">
      <alignment horizontal="center" vertical="center"/>
    </xf>
    <xf numFmtId="0" fontId="3" fillId="0" borderId="62" xfId="0" applyFont="1" applyBorder="1" applyAlignment="1">
      <alignment vertical="center"/>
    </xf>
    <xf numFmtId="38" fontId="10" fillId="5" borderId="63" xfId="3" applyNumberFormat="1" applyFont="1" applyFill="1" applyBorder="1">
      <alignment vertical="center"/>
    </xf>
    <xf numFmtId="38" fontId="19" fillId="19" borderId="58" xfId="3" applyNumberFormat="1" applyFont="1" applyFill="1" applyBorder="1">
      <alignment vertical="center"/>
    </xf>
    <xf numFmtId="38" fontId="10" fillId="5" borderId="23" xfId="3" applyNumberFormat="1" applyFont="1" applyFill="1" applyBorder="1">
      <alignment vertical="center"/>
    </xf>
    <xf numFmtId="38" fontId="11" fillId="5" borderId="25" xfId="4" applyNumberFormat="1" applyFont="1" applyFill="1" applyBorder="1">
      <alignment vertical="center"/>
    </xf>
    <xf numFmtId="38" fontId="19" fillId="5" borderId="64" xfId="3" applyNumberFormat="1" applyFont="1" applyFill="1" applyBorder="1">
      <alignment vertical="center"/>
    </xf>
    <xf numFmtId="176" fontId="3" fillId="2" borderId="20" xfId="1" applyNumberFormat="1" applyFont="1" applyFill="1" applyBorder="1">
      <alignment vertical="center"/>
    </xf>
    <xf numFmtId="9" fontId="0" fillId="0" borderId="52" xfId="0" applyNumberFormat="1" applyBorder="1"/>
    <xf numFmtId="3" fontId="0" fillId="0" borderId="52" xfId="0" applyNumberFormat="1" applyBorder="1"/>
    <xf numFmtId="177" fontId="0" fillId="0" borderId="65" xfId="0" applyNumberFormat="1" applyBorder="1"/>
    <xf numFmtId="0" fontId="0" fillId="0" borderId="12" xfId="0" applyBorder="1"/>
    <xf numFmtId="177" fontId="0" fillId="0" borderId="16" xfId="0" applyNumberFormat="1" applyBorder="1"/>
    <xf numFmtId="9" fontId="0" fillId="0" borderId="50" xfId="0" applyNumberFormat="1" applyBorder="1"/>
    <xf numFmtId="3" fontId="0" fillId="0" borderId="50" xfId="0" applyNumberFormat="1" applyBorder="1"/>
    <xf numFmtId="177" fontId="0" fillId="0" borderId="18" xfId="0" applyNumberFormat="1" applyBorder="1"/>
    <xf numFmtId="0" fontId="0" fillId="0" borderId="66" xfId="0" applyBorder="1"/>
    <xf numFmtId="9" fontId="0" fillId="0" borderId="67" xfId="0" applyNumberFormat="1" applyBorder="1"/>
    <xf numFmtId="3" fontId="0" fillId="0" borderId="67" xfId="0" applyNumberFormat="1" applyBorder="1"/>
    <xf numFmtId="177" fontId="0" fillId="0" borderId="68" xfId="0" applyNumberFormat="1" applyBorder="1"/>
    <xf numFmtId="0" fontId="31" fillId="0" borderId="11" xfId="0" applyFont="1" applyBorder="1"/>
    <xf numFmtId="3" fontId="31" fillId="0" borderId="17" xfId="0" applyNumberFormat="1" applyFont="1" applyBorder="1"/>
    <xf numFmtId="3" fontId="31" fillId="0" borderId="51" xfId="0" applyNumberFormat="1" applyFont="1" applyBorder="1"/>
    <xf numFmtId="3" fontId="31" fillId="0" borderId="66" xfId="0" applyNumberFormat="1" applyFont="1" applyBorder="1"/>
    <xf numFmtId="3" fontId="31" fillId="0" borderId="15" xfId="0" applyNumberFormat="1" applyFont="1" applyBorder="1"/>
    <xf numFmtId="0" fontId="31" fillId="0" borderId="31" xfId="0" applyFont="1" applyBorder="1"/>
    <xf numFmtId="3" fontId="31" fillId="0" borderId="50" xfId="0" applyNumberFormat="1" applyFont="1" applyBorder="1"/>
    <xf numFmtId="3" fontId="31" fillId="0" borderId="52" xfId="0" applyNumberFormat="1" applyFont="1" applyBorder="1"/>
    <xf numFmtId="3" fontId="31" fillId="0" borderId="67" xfId="0" applyNumberFormat="1" applyFont="1" applyBorder="1"/>
    <xf numFmtId="3" fontId="31" fillId="0" borderId="30" xfId="0" applyNumberFormat="1" applyFont="1" applyBorder="1"/>
    <xf numFmtId="176" fontId="3" fillId="0" borderId="9" xfId="1" applyNumberFormat="1" applyFont="1" applyBorder="1">
      <alignment vertical="center"/>
    </xf>
    <xf numFmtId="0" fontId="0" fillId="0" borderId="9" xfId="0" applyBorder="1"/>
    <xf numFmtId="0" fontId="3" fillId="0" borderId="0" xfId="0" applyFont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3" fillId="0" borderId="7" xfId="0" applyFont="1" applyBorder="1" applyAlignment="1">
      <alignment horizontal="center" vertical="center"/>
    </xf>
    <xf numFmtId="0" fontId="0" fillId="0" borderId="19" xfId="0" applyBorder="1"/>
    <xf numFmtId="0" fontId="18" fillId="0" borderId="3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0" borderId="18" xfId="0" applyBorder="1"/>
    <xf numFmtId="0" fontId="3" fillId="0" borderId="1" xfId="0" applyFont="1" applyBorder="1" applyAlignment="1">
      <alignment horizontal="center" vertical="center"/>
    </xf>
    <xf numFmtId="179" fontId="3" fillId="0" borderId="9" xfId="1" applyNumberFormat="1" applyFont="1" applyBorder="1">
      <alignment vertical="center"/>
    </xf>
  </cellXfs>
  <cellStyles count="5">
    <cellStyle name="パーセント" xfId="2" builtinId="5"/>
    <cellStyle name="悪い" xfId="4" builtinId="27"/>
    <cellStyle name="桁区切り" xfId="1" builtinId="6"/>
    <cellStyle name="標準" xfId="0" builtinId="0"/>
    <cellStyle name="良い" xfId="3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98"/>
  <sheetViews>
    <sheetView showGridLines="0" topLeftCell="A12" zoomScaleNormal="100" zoomScaleSheetLayoutView="100" workbookViewId="0">
      <selection activeCell="Y13" activeCellId="3" sqref="X24:X33 X8:X22 Y28 Y13"/>
    </sheetView>
  </sheetViews>
  <sheetFormatPr defaultColWidth="8.75" defaultRowHeight="14.25"/>
  <cols>
    <col min="1" max="1" width="2.75" style="30" customWidth="1"/>
    <col min="2" max="2" width="27.75" style="30" customWidth="1"/>
    <col min="3" max="3" width="8.75" style="31" customWidth="1"/>
    <col min="4" max="9" width="8.75" style="30" customWidth="1"/>
    <col min="10" max="10" width="9.25" style="30" bestFit="1" customWidth="1"/>
    <col min="11" max="11" width="1.75" style="30" customWidth="1"/>
    <col min="12" max="12" width="11.875" style="17" bestFit="1" customWidth="1"/>
    <col min="13" max="14" width="8.75" style="30" customWidth="1"/>
    <col min="15" max="15" width="1.125" style="30" customWidth="1"/>
    <col min="16" max="17" width="8.75" style="30" customWidth="1"/>
    <col min="18" max="21" width="8.75" style="30" hidden="1" customWidth="1"/>
    <col min="22" max="23" width="14.25" style="30" bestFit="1" customWidth="1"/>
    <col min="24" max="24" width="21.75" style="30" customWidth="1"/>
    <col min="25" max="26" width="8.75" style="30" customWidth="1"/>
    <col min="27" max="16384" width="8.75" style="30"/>
  </cols>
  <sheetData>
    <row r="1" spans="2:39" ht="19.149999999999999" customHeight="1" thickBot="1">
      <c r="B1" s="82" t="s">
        <v>51</v>
      </c>
    </row>
    <row r="2" spans="2:39" ht="14.45" customHeight="1">
      <c r="D2" s="18" t="s">
        <v>5</v>
      </c>
      <c r="E2" s="18" t="s">
        <v>6</v>
      </c>
      <c r="F2" s="18"/>
      <c r="G2" s="18" t="s">
        <v>7</v>
      </c>
      <c r="H2" s="18" t="s">
        <v>8</v>
      </c>
      <c r="I2" s="17"/>
      <c r="J2" s="17" t="s">
        <v>3</v>
      </c>
      <c r="L2" s="18"/>
      <c r="M2" s="30" t="s">
        <v>3</v>
      </c>
      <c r="N2" s="31" t="s">
        <v>52</v>
      </c>
      <c r="R2" s="31" t="s">
        <v>53</v>
      </c>
      <c r="S2" s="31" t="s">
        <v>54</v>
      </c>
      <c r="AF2" s="393" t="s">
        <v>55</v>
      </c>
      <c r="AG2" s="389"/>
      <c r="AH2" s="219"/>
      <c r="AI2" s="219" t="s">
        <v>56</v>
      </c>
      <c r="AJ2" s="388" t="s">
        <v>57</v>
      </c>
      <c r="AK2" s="389"/>
      <c r="AL2" s="390"/>
    </row>
    <row r="3" spans="2:39">
      <c r="B3" s="32" t="s">
        <v>58</v>
      </c>
      <c r="C3" s="33"/>
      <c r="D3" s="29" t="s">
        <v>11</v>
      </c>
      <c r="E3" s="29" t="s">
        <v>12</v>
      </c>
      <c r="F3" s="29" t="s">
        <v>59</v>
      </c>
      <c r="G3" s="29" t="s">
        <v>14</v>
      </c>
      <c r="H3" s="29" t="s">
        <v>15</v>
      </c>
      <c r="I3" s="29" t="s">
        <v>59</v>
      </c>
      <c r="J3" s="29" t="s">
        <v>16</v>
      </c>
      <c r="L3" s="29" t="s">
        <v>60</v>
      </c>
      <c r="M3" s="33" t="s">
        <v>61</v>
      </c>
      <c r="N3" s="33" t="s">
        <v>62</v>
      </c>
      <c r="R3" s="67" t="s">
        <v>63</v>
      </c>
      <c r="S3" s="33" t="s">
        <v>64</v>
      </c>
      <c r="T3" s="68" t="s">
        <v>65</v>
      </c>
      <c r="U3" s="83" t="s">
        <v>66</v>
      </c>
      <c r="V3" s="30" t="s">
        <v>67</v>
      </c>
      <c r="W3" s="30" t="s">
        <v>68</v>
      </c>
      <c r="X3" s="30" t="s">
        <v>69</v>
      </c>
      <c r="Y3" s="30" t="s">
        <v>70</v>
      </c>
      <c r="Z3" s="30" t="s">
        <v>26</v>
      </c>
      <c r="AA3" s="30" t="s">
        <v>70</v>
      </c>
      <c r="AF3" s="228" t="s">
        <v>71</v>
      </c>
      <c r="AG3" s="31" t="s">
        <v>72</v>
      </c>
      <c r="AH3" s="31"/>
      <c r="AI3" s="31" t="s">
        <v>73</v>
      </c>
      <c r="AJ3" s="31" t="s">
        <v>71</v>
      </c>
      <c r="AK3" s="31" t="s">
        <v>72</v>
      </c>
      <c r="AL3" s="229" t="s">
        <v>62</v>
      </c>
    </row>
    <row r="4" spans="2:39">
      <c r="B4" s="34" t="s">
        <v>74</v>
      </c>
      <c r="C4" s="35" t="s">
        <v>17</v>
      </c>
      <c r="D4" s="36">
        <f>第一!E11</f>
        <v>0</v>
      </c>
      <c r="E4" s="36">
        <f>第一!F11</f>
        <v>0</v>
      </c>
      <c r="F4" s="37">
        <f>SUM(D4:E4)</f>
        <v>0</v>
      </c>
      <c r="G4" s="36">
        <f>第一!H11</f>
        <v>0</v>
      </c>
      <c r="H4" s="36">
        <f>第一!I11</f>
        <v>0</v>
      </c>
      <c r="I4" s="37">
        <f>SUM(G4:H4)</f>
        <v>0</v>
      </c>
      <c r="J4" s="38">
        <f>SUM(F4,I4)</f>
        <v>0</v>
      </c>
      <c r="L4" s="59"/>
      <c r="M4" s="34"/>
      <c r="N4" s="34"/>
      <c r="R4" s="69"/>
      <c r="S4" s="39"/>
      <c r="T4" s="56"/>
      <c r="U4" s="39"/>
      <c r="AF4" s="220"/>
      <c r="AG4" s="30" t="s">
        <v>75</v>
      </c>
      <c r="AL4" s="221"/>
    </row>
    <row r="5" spans="2:39">
      <c r="B5" s="39"/>
      <c r="C5" s="40" t="s">
        <v>32</v>
      </c>
      <c r="D5" s="41">
        <f>第一!E17</f>
        <v>0</v>
      </c>
      <c r="E5" s="41">
        <f>第一!F17</f>
        <v>0</v>
      </c>
      <c r="F5" s="42">
        <f>SUM(D5:E5)</f>
        <v>0</v>
      </c>
      <c r="G5" s="41">
        <f>第一!H17</f>
        <v>0</v>
      </c>
      <c r="H5" s="41">
        <f>第一!I17</f>
        <v>0</v>
      </c>
      <c r="I5" s="42">
        <f>SUM(G5:H5)</f>
        <v>0</v>
      </c>
      <c r="J5" s="43">
        <f>SUM(F5,I5)</f>
        <v>0</v>
      </c>
      <c r="L5" s="60"/>
      <c r="M5" s="39"/>
      <c r="N5" s="39"/>
      <c r="R5" s="69"/>
      <c r="S5" s="39"/>
      <c r="T5" s="56"/>
      <c r="U5" s="39"/>
      <c r="AF5" s="220"/>
      <c r="AL5" s="221"/>
    </row>
    <row r="6" spans="2:39">
      <c r="B6" s="39"/>
      <c r="C6" s="40" t="s">
        <v>36</v>
      </c>
      <c r="D6" s="41">
        <f>第一!E28</f>
        <v>33400</v>
      </c>
      <c r="E6" s="41">
        <f>第一!F28</f>
        <v>33300</v>
      </c>
      <c r="F6" s="42">
        <f>SUM(D6:E6)</f>
        <v>66700</v>
      </c>
      <c r="G6" s="41">
        <f>第一!H28</f>
        <v>33300</v>
      </c>
      <c r="H6" s="41">
        <f>第一!I28</f>
        <v>35000</v>
      </c>
      <c r="I6" s="42">
        <f>SUM(G6:H6)</f>
        <v>68300</v>
      </c>
      <c r="J6" s="43">
        <f>SUM(F6,I6)</f>
        <v>135000</v>
      </c>
      <c r="L6" s="60"/>
      <c r="M6" s="39"/>
      <c r="N6" s="39"/>
      <c r="R6" s="69"/>
      <c r="S6" s="39"/>
      <c r="T6" s="56"/>
      <c r="U6" s="39"/>
      <c r="AF6" s="220"/>
      <c r="AL6" s="221"/>
    </row>
    <row r="7" spans="2:39">
      <c r="B7" s="39"/>
      <c r="C7" s="44" t="s">
        <v>76</v>
      </c>
      <c r="D7" s="45">
        <f>第一!E34</f>
        <v>0</v>
      </c>
      <c r="E7" s="45">
        <f>第一!F34</f>
        <v>0</v>
      </c>
      <c r="F7" s="46">
        <f>SUM(D7:E7)</f>
        <v>0</v>
      </c>
      <c r="G7" s="45">
        <f>第一!H34</f>
        <v>0</v>
      </c>
      <c r="H7" s="45">
        <f>第一!I34</f>
        <v>0</v>
      </c>
      <c r="I7" s="46">
        <f>SUM(G7:H7)</f>
        <v>0</v>
      </c>
      <c r="J7" s="47">
        <f>SUM(F7,I7)</f>
        <v>0</v>
      </c>
      <c r="L7" s="60"/>
      <c r="M7" s="39"/>
      <c r="N7" s="39"/>
      <c r="R7" s="69"/>
      <c r="S7" s="39"/>
      <c r="T7" s="56"/>
      <c r="U7" s="39"/>
      <c r="AF7" s="220"/>
      <c r="AL7" s="221"/>
    </row>
    <row r="8" spans="2:39">
      <c r="B8" s="48"/>
      <c r="C8" s="52" t="s">
        <v>13</v>
      </c>
      <c r="D8" s="53">
        <f t="shared" ref="D8:J8" si="0">SUM(D4:D7)</f>
        <v>33400</v>
      </c>
      <c r="E8" s="53">
        <f t="shared" si="0"/>
        <v>33300</v>
      </c>
      <c r="F8" s="53">
        <f t="shared" si="0"/>
        <v>66700</v>
      </c>
      <c r="G8" s="53">
        <f t="shared" si="0"/>
        <v>33300</v>
      </c>
      <c r="H8" s="53">
        <f t="shared" si="0"/>
        <v>35000</v>
      </c>
      <c r="I8" s="53">
        <f t="shared" si="0"/>
        <v>68300</v>
      </c>
      <c r="J8" s="53">
        <f t="shared" si="0"/>
        <v>135000</v>
      </c>
      <c r="L8" s="24">
        <f>155275-27049</f>
        <v>128226</v>
      </c>
      <c r="M8" s="61">
        <f>J8-L8</f>
        <v>6774</v>
      </c>
      <c r="N8" s="62">
        <f>(J8/L8)-1</f>
        <v>5.2828599504000762E-2</v>
      </c>
      <c r="P8" s="54"/>
      <c r="Q8" s="54"/>
      <c r="R8" s="69">
        <f>357/12</f>
        <v>29.75</v>
      </c>
      <c r="S8" s="63">
        <f>第一!K38</f>
        <v>20.5</v>
      </c>
      <c r="T8" s="70">
        <f>S8-R8</f>
        <v>-9.25</v>
      </c>
      <c r="U8" s="64">
        <f>(S8/R8)-1</f>
        <v>-0.31092436974789917</v>
      </c>
      <c r="V8" s="30">
        <v>309</v>
      </c>
      <c r="W8" s="30">
        <v>252</v>
      </c>
      <c r="X8" s="30">
        <v>240</v>
      </c>
      <c r="Z8" s="30">
        <v>319</v>
      </c>
      <c r="AA8" s="30">
        <v>15</v>
      </c>
      <c r="AC8" s="30">
        <f>310</f>
        <v>310</v>
      </c>
      <c r="AD8" s="30">
        <v>24</v>
      </c>
      <c r="AF8" s="220">
        <f>SUM(W8)/12</f>
        <v>21</v>
      </c>
      <c r="AG8" s="30">
        <f>SUM(X8:Y8)/12</f>
        <v>20</v>
      </c>
      <c r="AH8" s="30" t="s">
        <v>77</v>
      </c>
      <c r="AI8" s="84">
        <f>AG8/AF8</f>
        <v>0.95238095238095233</v>
      </c>
      <c r="AJ8" s="218">
        <f>L8/AF8</f>
        <v>6106</v>
      </c>
      <c r="AK8" s="218">
        <f>J8/AG8</f>
        <v>6750</v>
      </c>
      <c r="AL8" s="222">
        <f>AK8/AJ8</f>
        <v>1.1054700294792008</v>
      </c>
      <c r="AM8" s="30" t="s">
        <v>78</v>
      </c>
    </row>
    <row r="9" spans="2:39">
      <c r="B9" s="34" t="s">
        <v>79</v>
      </c>
      <c r="C9" s="35" t="s">
        <v>17</v>
      </c>
      <c r="D9" s="36">
        <f>第一開発!E12</f>
        <v>6500</v>
      </c>
      <c r="E9" s="36">
        <f>第一開発!F12</f>
        <v>7600</v>
      </c>
      <c r="F9" s="37">
        <f>第一開発!G12</f>
        <v>14100</v>
      </c>
      <c r="G9" s="36">
        <f>第一開発!H12</f>
        <v>7200</v>
      </c>
      <c r="H9" s="36">
        <f>第一開発!I12</f>
        <v>7200</v>
      </c>
      <c r="I9" s="37">
        <f>第一開発!J12</f>
        <v>14400</v>
      </c>
      <c r="J9" s="201">
        <f>第一開発!K12</f>
        <v>28500</v>
      </c>
      <c r="L9" s="60"/>
      <c r="M9" s="63"/>
      <c r="N9" s="64"/>
      <c r="P9" s="54"/>
      <c r="Q9" s="54"/>
      <c r="R9" s="69"/>
      <c r="S9" s="63"/>
      <c r="T9" s="70"/>
      <c r="U9" s="64"/>
      <c r="AF9" s="220"/>
      <c r="AI9" s="84"/>
      <c r="AL9" s="221"/>
    </row>
    <row r="10" spans="2:39">
      <c r="B10" s="39"/>
      <c r="C10" s="40" t="s">
        <v>32</v>
      </c>
      <c r="D10" s="41">
        <f>第一開発!E18</f>
        <v>0</v>
      </c>
      <c r="E10" s="41">
        <f>第一開発!F18</f>
        <v>0</v>
      </c>
      <c r="F10" s="42">
        <f>第一開発!G18</f>
        <v>0</v>
      </c>
      <c r="G10" s="41">
        <f>第一開発!H18</f>
        <v>0</v>
      </c>
      <c r="H10" s="41">
        <f>第一開発!I18</f>
        <v>0</v>
      </c>
      <c r="I10" s="42">
        <f>第一開発!J18</f>
        <v>0</v>
      </c>
      <c r="J10" s="202">
        <f>第一開発!K18</f>
        <v>0</v>
      </c>
      <c r="L10" s="60"/>
      <c r="M10" s="63"/>
      <c r="N10" s="64"/>
      <c r="P10" s="54"/>
      <c r="Q10" s="54"/>
      <c r="R10" s="69"/>
      <c r="S10" s="63"/>
      <c r="T10" s="70"/>
      <c r="U10" s="64"/>
      <c r="AF10" s="220"/>
      <c r="AI10" s="84"/>
      <c r="AL10" s="221"/>
    </row>
    <row r="11" spans="2:39">
      <c r="B11" s="39"/>
      <c r="C11" s="40" t="s">
        <v>36</v>
      </c>
      <c r="D11" s="41">
        <f>第一開発!E28</f>
        <v>0</v>
      </c>
      <c r="E11" s="41">
        <f>第一開発!F28</f>
        <v>0</v>
      </c>
      <c r="F11" s="42">
        <f>第一開発!G28</f>
        <v>0</v>
      </c>
      <c r="G11" s="41">
        <f>第一開発!H28</f>
        <v>0</v>
      </c>
      <c r="H11" s="41">
        <f>第一開発!I28</f>
        <v>0</v>
      </c>
      <c r="I11" s="42">
        <f>第一開発!J28</f>
        <v>0</v>
      </c>
      <c r="J11" s="202">
        <f>第一開発!K28</f>
        <v>0</v>
      </c>
      <c r="L11" s="60"/>
      <c r="M11" s="63"/>
      <c r="N11" s="64"/>
      <c r="P11" s="54"/>
      <c r="Q11" s="54"/>
      <c r="R11" s="69"/>
      <c r="S11" s="63"/>
      <c r="T11" s="70"/>
      <c r="U11" s="64"/>
      <c r="AF11" s="220"/>
      <c r="AI11" s="84"/>
      <c r="AL11" s="221"/>
    </row>
    <row r="12" spans="2:39">
      <c r="B12" s="39"/>
      <c r="C12" s="44" t="s">
        <v>76</v>
      </c>
      <c r="D12" s="45">
        <f>第一開発!E34</f>
        <v>0</v>
      </c>
      <c r="E12" s="45">
        <f>第一開発!F34</f>
        <v>0</v>
      </c>
      <c r="F12" s="46">
        <f>第一開発!G34</f>
        <v>0</v>
      </c>
      <c r="G12" s="45">
        <f>第一開発!H34</f>
        <v>0</v>
      </c>
      <c r="H12" s="45">
        <f>第一開発!I34</f>
        <v>0</v>
      </c>
      <c r="I12" s="46">
        <f>第一開発!J34</f>
        <v>0</v>
      </c>
      <c r="J12" s="203">
        <f>第一開発!K34</f>
        <v>0</v>
      </c>
      <c r="L12" s="60"/>
      <c r="M12" s="63"/>
      <c r="N12" s="64"/>
      <c r="P12" s="54"/>
      <c r="Q12" s="54"/>
      <c r="R12" s="69"/>
      <c r="S12" s="63"/>
      <c r="T12" s="70"/>
      <c r="U12" s="64"/>
      <c r="AF12" s="220"/>
      <c r="AI12" s="84"/>
      <c r="AL12" s="221"/>
    </row>
    <row r="13" spans="2:39">
      <c r="B13" s="48"/>
      <c r="C13" s="52" t="s">
        <v>13</v>
      </c>
      <c r="D13" s="53">
        <f t="shared" ref="D13:J13" si="1">SUM(D9:D12)</f>
        <v>6500</v>
      </c>
      <c r="E13" s="53">
        <f t="shared" si="1"/>
        <v>7600</v>
      </c>
      <c r="F13" s="53">
        <f t="shared" si="1"/>
        <v>14100</v>
      </c>
      <c r="G13" s="53">
        <f t="shared" si="1"/>
        <v>7200</v>
      </c>
      <c r="H13" s="53">
        <f t="shared" si="1"/>
        <v>7200</v>
      </c>
      <c r="I13" s="53">
        <f t="shared" si="1"/>
        <v>14400</v>
      </c>
      <c r="J13" s="53">
        <f t="shared" si="1"/>
        <v>28500</v>
      </c>
      <c r="L13" s="24">
        <v>27049</v>
      </c>
      <c r="M13" s="61">
        <f>J13-L13</f>
        <v>1451</v>
      </c>
      <c r="N13" s="62">
        <f>(J13/L13)-1</f>
        <v>5.3643387925616404E-2</v>
      </c>
      <c r="P13" s="54"/>
      <c r="Q13" s="54"/>
      <c r="R13" s="69"/>
      <c r="S13" s="63"/>
      <c r="T13" s="70"/>
      <c r="U13" s="64"/>
      <c r="W13" s="30">
        <v>69</v>
      </c>
      <c r="X13" s="30">
        <v>48</v>
      </c>
      <c r="Y13" s="30">
        <v>12</v>
      </c>
      <c r="AF13" s="220">
        <f>SUM(W13)/12</f>
        <v>5.75</v>
      </c>
      <c r="AG13" s="30">
        <f>SUM(X13:Y13)/12</f>
        <v>5</v>
      </c>
      <c r="AH13" s="30" t="s">
        <v>80</v>
      </c>
      <c r="AI13" s="84">
        <f>AG13/AF13</f>
        <v>0.86956521739130432</v>
      </c>
      <c r="AJ13" s="218">
        <f>L13/AF13</f>
        <v>4704.173913043478</v>
      </c>
      <c r="AK13" s="218">
        <f>J13/AG13</f>
        <v>5700</v>
      </c>
      <c r="AL13" s="222">
        <f>AK13/AJ13</f>
        <v>1.2116898961144591</v>
      </c>
      <c r="AM13" s="30" t="s">
        <v>81</v>
      </c>
    </row>
    <row r="14" spans="2:39">
      <c r="B14" s="34" t="s">
        <v>82</v>
      </c>
      <c r="C14" s="35" t="s">
        <v>17</v>
      </c>
      <c r="D14" s="36">
        <f>第ニ!E10</f>
        <v>21500</v>
      </c>
      <c r="E14" s="36">
        <f>第ニ!F10</f>
        <v>21500</v>
      </c>
      <c r="F14" s="37">
        <f>第ニ!G10</f>
        <v>43000</v>
      </c>
      <c r="G14" s="36">
        <f>第ニ!H10</f>
        <v>21500</v>
      </c>
      <c r="H14" s="36">
        <f>第ニ!I10</f>
        <v>21500</v>
      </c>
      <c r="I14" s="37">
        <f>第ニ!J10</f>
        <v>43000</v>
      </c>
      <c r="J14" s="38">
        <f>第ニ!K10</f>
        <v>86000</v>
      </c>
      <c r="L14" s="60"/>
      <c r="M14" s="39"/>
      <c r="N14" s="39"/>
      <c r="P14" s="54"/>
      <c r="Q14" s="54"/>
      <c r="R14" s="74"/>
      <c r="S14" s="34"/>
      <c r="T14" s="57"/>
      <c r="U14" s="34"/>
      <c r="AF14" s="220"/>
      <c r="AI14" s="84"/>
      <c r="AL14" s="221"/>
    </row>
    <row r="15" spans="2:39">
      <c r="B15" s="39"/>
      <c r="C15" s="40" t="s">
        <v>32</v>
      </c>
      <c r="D15" s="41">
        <f>第ニ!E16</f>
        <v>0</v>
      </c>
      <c r="E15" s="41">
        <f>第ニ!F16</f>
        <v>0</v>
      </c>
      <c r="F15" s="42">
        <f>第ニ!G16</f>
        <v>0</v>
      </c>
      <c r="G15" s="41">
        <f>第ニ!H16</f>
        <v>0</v>
      </c>
      <c r="H15" s="41">
        <f>第ニ!I16</f>
        <v>0</v>
      </c>
      <c r="I15" s="42">
        <f>第ニ!J16</f>
        <v>0</v>
      </c>
      <c r="J15" s="43">
        <f>第ニ!K16</f>
        <v>0</v>
      </c>
      <c r="L15" s="60"/>
      <c r="M15" s="39"/>
      <c r="N15" s="39"/>
      <c r="P15" s="54"/>
      <c r="R15" s="69"/>
      <c r="S15" s="39"/>
      <c r="T15" s="56"/>
      <c r="U15" s="39"/>
      <c r="AF15" s="220"/>
      <c r="AI15" s="84"/>
      <c r="AL15" s="221"/>
    </row>
    <row r="16" spans="2:39">
      <c r="B16" s="39"/>
      <c r="C16" s="40" t="s">
        <v>36</v>
      </c>
      <c r="D16" s="41">
        <f>第ニ!E22</f>
        <v>0</v>
      </c>
      <c r="E16" s="41">
        <f>第ニ!F22</f>
        <v>0</v>
      </c>
      <c r="F16" s="42">
        <f>第ニ!G22</f>
        <v>0</v>
      </c>
      <c r="G16" s="41">
        <f>第ニ!H22</f>
        <v>0</v>
      </c>
      <c r="H16" s="41">
        <f>第ニ!I22</f>
        <v>0</v>
      </c>
      <c r="I16" s="42">
        <f>第ニ!J22</f>
        <v>0</v>
      </c>
      <c r="J16" s="43">
        <f>第ニ!K22</f>
        <v>0</v>
      </c>
      <c r="L16" s="60"/>
      <c r="M16" s="39"/>
      <c r="N16" s="39"/>
      <c r="O16" s="30" t="s">
        <v>83</v>
      </c>
      <c r="R16" s="69"/>
      <c r="S16" s="39"/>
      <c r="T16" s="56"/>
      <c r="U16" s="39"/>
      <c r="AF16" s="220"/>
      <c r="AI16" s="84"/>
      <c r="AL16" s="221"/>
    </row>
    <row r="17" spans="2:39">
      <c r="B17" s="39"/>
      <c r="C17" s="44" t="s">
        <v>76</v>
      </c>
      <c r="D17" s="45">
        <f>第ニ!E28</f>
        <v>0</v>
      </c>
      <c r="E17" s="45">
        <f>第ニ!F28</f>
        <v>0</v>
      </c>
      <c r="F17" s="46">
        <f>第ニ!G28</f>
        <v>0</v>
      </c>
      <c r="G17" s="45">
        <f>第ニ!H28</f>
        <v>0</v>
      </c>
      <c r="H17" s="45">
        <f>第ニ!I28</f>
        <v>0</v>
      </c>
      <c r="I17" s="46">
        <f>第ニ!J28</f>
        <v>0</v>
      </c>
      <c r="J17" s="47">
        <f>第ニ!K28</f>
        <v>0</v>
      </c>
      <c r="L17" s="60"/>
      <c r="M17" s="39"/>
      <c r="N17" s="39"/>
      <c r="P17" s="30" t="s">
        <v>84</v>
      </c>
      <c r="R17" s="69"/>
      <c r="S17" s="39"/>
      <c r="T17" s="56"/>
      <c r="U17" s="39"/>
      <c r="AF17" s="220"/>
      <c r="AI17" s="84"/>
      <c r="AL17" s="221"/>
    </row>
    <row r="18" spans="2:39" ht="18" customHeight="1">
      <c r="B18" s="48"/>
      <c r="C18" s="52" t="s">
        <v>13</v>
      </c>
      <c r="D18" s="53">
        <f t="shared" ref="D18:J18" si="2">SUM(D14:D17)</f>
        <v>21500</v>
      </c>
      <c r="E18" s="53">
        <f t="shared" si="2"/>
        <v>21500</v>
      </c>
      <c r="F18" s="53">
        <f t="shared" si="2"/>
        <v>43000</v>
      </c>
      <c r="G18" s="53">
        <f t="shared" si="2"/>
        <v>21500</v>
      </c>
      <c r="H18" s="53">
        <f t="shared" si="2"/>
        <v>21500</v>
      </c>
      <c r="I18" s="53">
        <f t="shared" si="2"/>
        <v>43000</v>
      </c>
      <c r="J18" s="53">
        <f t="shared" si="2"/>
        <v>86000</v>
      </c>
      <c r="L18" s="176">
        <v>81600</v>
      </c>
      <c r="M18" s="63">
        <f>J18-L18</f>
        <v>4400</v>
      </c>
      <c r="N18" s="62">
        <f>(J18/L18)-1</f>
        <v>5.3921568627451011E-2</v>
      </c>
      <c r="P18" s="54">
        <f>SUM(J18,J23)-SUM(L18,L23)</f>
        <v>4810</v>
      </c>
      <c r="Q18" s="55">
        <f>SUM(J18,J23)/SUM(L18,L23)-1</f>
        <v>4.9490688342421985E-2</v>
      </c>
      <c r="R18" s="75">
        <f>134/12</f>
        <v>11.166666666666666</v>
      </c>
      <c r="S18" s="61">
        <f>第ニ!K32</f>
        <v>11</v>
      </c>
      <c r="T18" s="73">
        <f>S18-R18</f>
        <v>-0.16666666666666607</v>
      </c>
      <c r="U18" s="62">
        <f>(S18/R18)-1</f>
        <v>-1.492537313432829E-2</v>
      </c>
      <c r="V18" s="30">
        <v>132</v>
      </c>
      <c r="W18" s="30">
        <v>132</v>
      </c>
      <c r="X18" s="30">
        <v>132</v>
      </c>
      <c r="Y18" s="30">
        <v>0</v>
      </c>
      <c r="AC18" s="30">
        <v>132</v>
      </c>
      <c r="AF18" s="220">
        <f>SUM(W18)/12</f>
        <v>11</v>
      </c>
      <c r="AG18" s="30">
        <f>SUM(X18:Y18)/12</f>
        <v>11</v>
      </c>
      <c r="AH18" s="30" t="s">
        <v>85</v>
      </c>
      <c r="AI18" s="84">
        <f>AG18/AF18</f>
        <v>1</v>
      </c>
      <c r="AJ18" s="218">
        <f>L18/AF18</f>
        <v>7418.181818181818</v>
      </c>
      <c r="AK18" s="218">
        <f>J18/AG18</f>
        <v>7818.181818181818</v>
      </c>
      <c r="AL18" s="222">
        <f>AK18/AJ18</f>
        <v>1.053921568627451</v>
      </c>
      <c r="AM18" s="30" t="s">
        <v>78</v>
      </c>
    </row>
    <row r="19" spans="2:39">
      <c r="B19" s="34" t="s">
        <v>86</v>
      </c>
      <c r="C19" s="35" t="s">
        <v>17</v>
      </c>
      <c r="D19" s="36">
        <f>'第ニ (CO)'!E10</f>
        <v>4000</v>
      </c>
      <c r="E19" s="36">
        <f>'第ニ (CO)'!F10</f>
        <v>4000</v>
      </c>
      <c r="F19" s="37">
        <f>'第ニ (CO)'!G10</f>
        <v>8000</v>
      </c>
      <c r="G19" s="36">
        <f>'第ニ (CO)'!H10</f>
        <v>4000</v>
      </c>
      <c r="H19" s="36">
        <f>'第ニ (CO)'!I10</f>
        <v>4000</v>
      </c>
      <c r="I19" s="37">
        <f>'第ニ (CO)'!J10</f>
        <v>8000</v>
      </c>
      <c r="J19" s="38">
        <f>'第ニ (CO)'!K10</f>
        <v>16000</v>
      </c>
      <c r="L19" s="59"/>
      <c r="M19" s="34"/>
      <c r="N19" s="34"/>
      <c r="R19" s="69"/>
      <c r="S19" s="39"/>
      <c r="T19" s="56"/>
      <c r="U19" s="39"/>
      <c r="AF19" s="220"/>
      <c r="AI19" s="84"/>
      <c r="AL19" s="221"/>
    </row>
    <row r="20" spans="2:39">
      <c r="B20" s="39"/>
      <c r="C20" s="40" t="s">
        <v>32</v>
      </c>
      <c r="D20" s="41">
        <f>'第ニ (CO)'!E16</f>
        <v>0</v>
      </c>
      <c r="E20" s="41">
        <f>'第ニ (CO)'!F16</f>
        <v>0</v>
      </c>
      <c r="F20" s="42">
        <f>'第ニ (CO)'!G16</f>
        <v>0</v>
      </c>
      <c r="G20" s="41">
        <f>'第ニ (CO)'!H16</f>
        <v>0</v>
      </c>
      <c r="H20" s="41">
        <f>'第ニ (CO)'!I16</f>
        <v>0</v>
      </c>
      <c r="I20" s="42">
        <f>'第ニ (CO)'!J16</f>
        <v>0</v>
      </c>
      <c r="J20" s="43">
        <f>'第ニ (CO)'!K16</f>
        <v>0</v>
      </c>
      <c r="L20" s="60"/>
      <c r="M20" s="39"/>
      <c r="N20" s="39"/>
      <c r="R20" s="69"/>
      <c r="S20" s="39"/>
      <c r="T20" s="56"/>
      <c r="U20" s="39"/>
      <c r="AF20" s="220"/>
      <c r="AI20" s="84"/>
      <c r="AL20" s="221"/>
    </row>
    <row r="21" spans="2:39">
      <c r="B21" s="39"/>
      <c r="C21" s="40" t="s">
        <v>36</v>
      </c>
      <c r="D21" s="41">
        <f>'第ニ (CO)'!E22</f>
        <v>0</v>
      </c>
      <c r="E21" s="41">
        <f>'第ニ (CO)'!F22</f>
        <v>0</v>
      </c>
      <c r="F21" s="42">
        <f>'第ニ (CO)'!G22</f>
        <v>0</v>
      </c>
      <c r="G21" s="41">
        <f>'第ニ (CO)'!H22</f>
        <v>0</v>
      </c>
      <c r="H21" s="41">
        <f>'第ニ (CO)'!I22</f>
        <v>0</v>
      </c>
      <c r="I21" s="42">
        <f>'第ニ (CO)'!J22</f>
        <v>0</v>
      </c>
      <c r="J21" s="43">
        <f>'第ニ (CO)'!K22</f>
        <v>0</v>
      </c>
      <c r="L21" s="60"/>
      <c r="M21" s="39"/>
      <c r="N21" s="39"/>
      <c r="R21" s="69"/>
      <c r="S21" s="39"/>
      <c r="T21" s="56"/>
      <c r="U21" s="39"/>
      <c r="AF21" s="220"/>
      <c r="AI21" s="84"/>
      <c r="AL21" s="221"/>
    </row>
    <row r="22" spans="2:39">
      <c r="B22" s="39"/>
      <c r="C22" s="44" t="s">
        <v>76</v>
      </c>
      <c r="D22" s="45">
        <f>'第ニ (CO)'!E28</f>
        <v>0</v>
      </c>
      <c r="E22" s="45">
        <f>'第ニ (CO)'!F28</f>
        <v>0</v>
      </c>
      <c r="F22" s="46">
        <f>'第ニ (CO)'!G28</f>
        <v>0</v>
      </c>
      <c r="G22" s="45">
        <f>'第ニ (CO)'!H28</f>
        <v>0</v>
      </c>
      <c r="H22" s="45">
        <f>'第ニ (CO)'!I28</f>
        <v>0</v>
      </c>
      <c r="I22" s="46">
        <f>'第ニ (CO)'!J28</f>
        <v>0</v>
      </c>
      <c r="J22" s="47">
        <f>'第ニ (CO)'!K28</f>
        <v>0</v>
      </c>
      <c r="L22" s="60"/>
      <c r="M22" s="39"/>
      <c r="N22" s="39"/>
      <c r="R22" s="69"/>
      <c r="S22" s="39"/>
      <c r="T22" s="56"/>
      <c r="U22" s="39"/>
      <c r="AF22" s="220"/>
      <c r="AI22" s="84"/>
      <c r="AL22" s="221"/>
    </row>
    <row r="23" spans="2:39" ht="18" customHeight="1">
      <c r="B23" s="48"/>
      <c r="C23" s="52" t="s">
        <v>13</v>
      </c>
      <c r="D23" s="53">
        <f t="shared" ref="D23:J23" si="3">SUM(D19:D22)</f>
        <v>4000</v>
      </c>
      <c r="E23" s="53">
        <f t="shared" si="3"/>
        <v>4000</v>
      </c>
      <c r="F23" s="53">
        <f t="shared" si="3"/>
        <v>8000</v>
      </c>
      <c r="G23" s="53">
        <f t="shared" si="3"/>
        <v>4000</v>
      </c>
      <c r="H23" s="53">
        <f t="shared" si="3"/>
        <v>4000</v>
      </c>
      <c r="I23" s="53">
        <f t="shared" si="3"/>
        <v>8000</v>
      </c>
      <c r="J23" s="53">
        <f t="shared" si="3"/>
        <v>16000</v>
      </c>
      <c r="L23" s="176">
        <v>15590</v>
      </c>
      <c r="M23" s="61">
        <f>J23-L23</f>
        <v>410</v>
      </c>
      <c r="N23" s="62">
        <f>(J23/L23)-1</f>
        <v>2.6298909557408656E-2</v>
      </c>
      <c r="P23" s="54"/>
      <c r="Q23" s="54"/>
      <c r="R23" s="71">
        <f>41/12</f>
        <v>3.4166666666666665</v>
      </c>
      <c r="S23" s="63">
        <f>'第ニ (CO)'!K32</f>
        <v>2</v>
      </c>
      <c r="T23" s="70">
        <f>S23-R23</f>
        <v>-1.4166666666666665</v>
      </c>
      <c r="U23" s="64">
        <f>(S23/R23)-1</f>
        <v>-0.41463414634146334</v>
      </c>
      <c r="V23" s="30">
        <v>24</v>
      </c>
      <c r="X23" s="30">
        <v>24</v>
      </c>
      <c r="Y23" s="30">
        <v>0</v>
      </c>
      <c r="AC23" s="30">
        <v>24</v>
      </c>
      <c r="AF23" s="220">
        <f>SUM(W23)/12</f>
        <v>0</v>
      </c>
      <c r="AG23" s="30">
        <f>SUM(X23:Y23)/12</f>
        <v>2</v>
      </c>
      <c r="AH23" s="30" t="s">
        <v>87</v>
      </c>
      <c r="AI23" s="84"/>
      <c r="AL23" s="221"/>
    </row>
    <row r="24" spans="2:39">
      <c r="B24" s="34" t="s">
        <v>88</v>
      </c>
      <c r="C24" s="35" t="s">
        <v>17</v>
      </c>
      <c r="D24" s="36">
        <f>アプ開発!E10</f>
        <v>0</v>
      </c>
      <c r="E24" s="36">
        <f>アプ開発!F10</f>
        <v>0</v>
      </c>
      <c r="F24" s="36">
        <f>アプ開発!G10</f>
        <v>0</v>
      </c>
      <c r="G24" s="36">
        <f>アプ開発!H10</f>
        <v>0</v>
      </c>
      <c r="H24" s="36">
        <f>アプ開発!I10</f>
        <v>0</v>
      </c>
      <c r="I24" s="36">
        <f>アプ開発!J10</f>
        <v>0</v>
      </c>
      <c r="J24" s="36">
        <f>アプ開発!K10</f>
        <v>0</v>
      </c>
      <c r="L24" s="60"/>
      <c r="M24" s="39"/>
      <c r="N24" s="39"/>
      <c r="R24" s="74"/>
      <c r="S24" s="34"/>
      <c r="T24" s="57"/>
      <c r="U24" s="34"/>
      <c r="AF24" s="220"/>
      <c r="AI24" s="84"/>
      <c r="AL24" s="221"/>
    </row>
    <row r="25" spans="2:39">
      <c r="B25" s="39"/>
      <c r="C25" s="40" t="s">
        <v>32</v>
      </c>
      <c r="D25" s="41">
        <f>アプ開発!E17</f>
        <v>19366</v>
      </c>
      <c r="E25" s="41">
        <f>アプ開発!F17</f>
        <v>17024</v>
      </c>
      <c r="F25" s="41">
        <f>アプ開発!G17</f>
        <v>36390</v>
      </c>
      <c r="G25" s="41">
        <f>アプ開発!H17</f>
        <v>16562</v>
      </c>
      <c r="H25" s="41">
        <f>アプ開発!I17</f>
        <v>18937</v>
      </c>
      <c r="I25" s="41">
        <f>アプ開発!J17</f>
        <v>35499</v>
      </c>
      <c r="J25" s="41">
        <f>アプ開発!K17</f>
        <v>71889</v>
      </c>
      <c r="L25" s="60"/>
      <c r="M25" s="39"/>
      <c r="N25" s="39"/>
      <c r="R25" s="69"/>
      <c r="S25" s="39"/>
      <c r="T25" s="56"/>
      <c r="U25" s="39"/>
      <c r="AF25" s="220"/>
      <c r="AI25" s="84"/>
      <c r="AL25" s="221"/>
    </row>
    <row r="26" spans="2:39">
      <c r="B26" s="39"/>
      <c r="C26" s="40" t="s">
        <v>36</v>
      </c>
      <c r="D26" s="41">
        <f>アプ開発!E23</f>
        <v>0</v>
      </c>
      <c r="E26" s="41">
        <f>アプ開発!F23</f>
        <v>0</v>
      </c>
      <c r="F26" s="41">
        <f>アプ開発!G23</f>
        <v>0</v>
      </c>
      <c r="G26" s="41">
        <f>アプ開発!H23</f>
        <v>0</v>
      </c>
      <c r="H26" s="41">
        <f>アプ開発!I23</f>
        <v>0</v>
      </c>
      <c r="I26" s="41">
        <f>アプ開発!J23</f>
        <v>0</v>
      </c>
      <c r="J26" s="41">
        <f>アプ開発!K23</f>
        <v>0</v>
      </c>
      <c r="L26" s="60"/>
      <c r="M26" s="39"/>
      <c r="N26" s="39"/>
      <c r="R26" s="69"/>
      <c r="S26" s="39"/>
      <c r="T26" s="56"/>
      <c r="U26" s="39"/>
      <c r="AF26" s="220"/>
      <c r="AI26" s="84"/>
      <c r="AL26" s="221"/>
    </row>
    <row r="27" spans="2:39">
      <c r="B27" s="39"/>
      <c r="C27" s="44" t="s">
        <v>76</v>
      </c>
      <c r="D27" s="45">
        <f>アプ開発!E29</f>
        <v>0</v>
      </c>
      <c r="E27" s="45">
        <f>アプ開発!F29</f>
        <v>0</v>
      </c>
      <c r="F27" s="45">
        <f>アプ開発!G29</f>
        <v>0</v>
      </c>
      <c r="G27" s="45">
        <f>アプ開発!H29</f>
        <v>0</v>
      </c>
      <c r="H27" s="45">
        <f>アプ開発!I29</f>
        <v>0</v>
      </c>
      <c r="I27" s="45">
        <f>アプ開発!J29</f>
        <v>0</v>
      </c>
      <c r="J27" s="45">
        <f>アプ開発!K29</f>
        <v>0</v>
      </c>
      <c r="L27" s="60"/>
      <c r="M27" s="39"/>
      <c r="N27" s="39"/>
      <c r="R27" s="69"/>
      <c r="S27" s="39"/>
      <c r="T27" s="56"/>
      <c r="U27" s="39"/>
      <c r="AF27" s="220"/>
      <c r="AI27" s="84"/>
      <c r="AL27" s="221"/>
    </row>
    <row r="28" spans="2:39" ht="18" customHeight="1">
      <c r="B28" s="48"/>
      <c r="C28" s="52" t="s">
        <v>13</v>
      </c>
      <c r="D28" s="53">
        <f t="shared" ref="D28:J28" si="4">SUM(D24:D27)</f>
        <v>19366</v>
      </c>
      <c r="E28" s="53">
        <f t="shared" si="4"/>
        <v>17024</v>
      </c>
      <c r="F28" s="53">
        <f t="shared" si="4"/>
        <v>36390</v>
      </c>
      <c r="G28" s="53">
        <f t="shared" si="4"/>
        <v>16562</v>
      </c>
      <c r="H28" s="53">
        <f t="shared" si="4"/>
        <v>18937</v>
      </c>
      <c r="I28" s="53">
        <f t="shared" si="4"/>
        <v>35499</v>
      </c>
      <c r="J28" s="53">
        <f t="shared" si="4"/>
        <v>71889</v>
      </c>
      <c r="L28" s="176">
        <v>65334</v>
      </c>
      <c r="M28" s="63">
        <f>J28-L28</f>
        <v>6555</v>
      </c>
      <c r="N28" s="62">
        <f>(J28/L28)-1</f>
        <v>0.10033060887133805</v>
      </c>
      <c r="P28" s="54"/>
      <c r="Q28" s="54"/>
      <c r="R28" s="75">
        <f>67/12</f>
        <v>5.583333333333333</v>
      </c>
      <c r="S28" s="61" t="e">
        <f>#REF!</f>
        <v>#REF!</v>
      </c>
      <c r="T28" s="73" t="e">
        <f>S28-R28</f>
        <v>#REF!</v>
      </c>
      <c r="U28" s="62" t="e">
        <f>(S28/R28)-1</f>
        <v>#REF!</v>
      </c>
      <c r="V28" s="30">
        <v>72</v>
      </c>
      <c r="W28" s="30">
        <v>81</v>
      </c>
      <c r="X28" s="30">
        <v>72</v>
      </c>
      <c r="Y28" s="30">
        <v>12</v>
      </c>
      <c r="AC28" s="30">
        <f>72+10</f>
        <v>82</v>
      </c>
      <c r="AD28" s="30">
        <v>12</v>
      </c>
      <c r="AF28" s="220">
        <f>SUM(W28)/12</f>
        <v>6.75</v>
      </c>
      <c r="AG28" s="30">
        <f>SUM(X28:Y28)/12</f>
        <v>7</v>
      </c>
      <c r="AH28" s="30" t="s">
        <v>89</v>
      </c>
      <c r="AI28" s="84">
        <f>AG28/AF28</f>
        <v>1.037037037037037</v>
      </c>
      <c r="AJ28" s="218">
        <f>L28/AF28</f>
        <v>9679.1111111111113</v>
      </c>
      <c r="AK28" s="218">
        <f>J28/AG28</f>
        <v>10269.857142857143</v>
      </c>
      <c r="AL28" s="222">
        <f>AK28/AJ28</f>
        <v>1.061033087125933</v>
      </c>
      <c r="AM28" s="30" t="s">
        <v>90</v>
      </c>
    </row>
    <row r="29" spans="2:39">
      <c r="B29" s="34" t="s">
        <v>2</v>
      </c>
      <c r="C29" s="35" t="s">
        <v>17</v>
      </c>
      <c r="D29" s="36">
        <f>シス基盤!E13</f>
        <v>13715</v>
      </c>
      <c r="E29" s="36">
        <f>シス基盤!F13</f>
        <v>14415</v>
      </c>
      <c r="F29" s="37">
        <f>シス基盤!G13</f>
        <v>28130</v>
      </c>
      <c r="G29" s="36">
        <f>シス基盤!H13</f>
        <v>14415</v>
      </c>
      <c r="H29" s="36">
        <f>シス基盤!I13</f>
        <v>15457</v>
      </c>
      <c r="I29" s="37">
        <f>シス基盤!J13</f>
        <v>29872</v>
      </c>
      <c r="J29" s="38">
        <f>シス基盤!K13</f>
        <v>58002</v>
      </c>
      <c r="L29" s="59"/>
      <c r="M29" s="34"/>
      <c r="N29" s="34"/>
      <c r="R29" s="69"/>
      <c r="S29" s="39"/>
      <c r="T29" s="56"/>
      <c r="U29" s="39"/>
      <c r="AF29" s="220"/>
      <c r="AI29" s="84"/>
      <c r="AL29" s="221"/>
    </row>
    <row r="30" spans="2:39">
      <c r="B30" s="39"/>
      <c r="C30" s="40" t="s">
        <v>32</v>
      </c>
      <c r="D30" s="41">
        <f>シス基盤!E19</f>
        <v>1950</v>
      </c>
      <c r="E30" s="41">
        <f>シス基盤!F19</f>
        <v>1950</v>
      </c>
      <c r="F30" s="42">
        <f>シス基盤!G19</f>
        <v>3900</v>
      </c>
      <c r="G30" s="41">
        <f>シス基盤!H19</f>
        <v>1950</v>
      </c>
      <c r="H30" s="41">
        <f>シス基盤!I19</f>
        <v>1950</v>
      </c>
      <c r="I30" s="42">
        <f>シス基盤!J19</f>
        <v>3900</v>
      </c>
      <c r="J30" s="43">
        <f>シス基盤!K19</f>
        <v>7800</v>
      </c>
      <c r="L30" s="60"/>
      <c r="M30" s="39"/>
      <c r="N30" s="39"/>
      <c r="R30" s="69"/>
      <c r="S30" s="39"/>
      <c r="T30" s="56"/>
      <c r="U30" s="39"/>
      <c r="AF30" s="220"/>
      <c r="AI30" s="84"/>
      <c r="AL30" s="221"/>
    </row>
    <row r="31" spans="2:39">
      <c r="B31" s="39"/>
      <c r="C31" s="40" t="s">
        <v>36</v>
      </c>
      <c r="D31" s="41">
        <f>シス基盤!E25</f>
        <v>2035</v>
      </c>
      <c r="E31" s="41">
        <f>シス基盤!F25</f>
        <v>2035</v>
      </c>
      <c r="F31" s="42">
        <f>シス基盤!G25</f>
        <v>4070</v>
      </c>
      <c r="G31" s="41">
        <f>シス基盤!H25</f>
        <v>2035</v>
      </c>
      <c r="H31" s="41">
        <f>シス基盤!I25</f>
        <v>2093</v>
      </c>
      <c r="I31" s="42">
        <f>シス基盤!J25</f>
        <v>4128</v>
      </c>
      <c r="J31" s="43">
        <f>シス基盤!K25</f>
        <v>8198</v>
      </c>
      <c r="L31" s="60"/>
      <c r="M31" s="39"/>
      <c r="N31" s="39"/>
      <c r="R31" s="69"/>
      <c r="S31" s="39"/>
      <c r="T31" s="56"/>
      <c r="U31" s="39"/>
      <c r="AF31" s="220"/>
      <c r="AI31" s="84"/>
      <c r="AL31" s="221"/>
    </row>
    <row r="32" spans="2:39">
      <c r="B32" s="39"/>
      <c r="C32" s="44" t="s">
        <v>76</v>
      </c>
      <c r="D32" s="45">
        <f>シス基盤!E31</f>
        <v>0</v>
      </c>
      <c r="E32" s="45">
        <f>シス基盤!F31</f>
        <v>0</v>
      </c>
      <c r="F32" s="46">
        <f>シス基盤!G31</f>
        <v>0</v>
      </c>
      <c r="G32" s="45">
        <f>シス基盤!H31</f>
        <v>0</v>
      </c>
      <c r="H32" s="45">
        <f>シス基盤!I31</f>
        <v>0</v>
      </c>
      <c r="I32" s="46">
        <f>シス基盤!J31</f>
        <v>0</v>
      </c>
      <c r="J32" s="47">
        <f>シス基盤!K31</f>
        <v>0</v>
      </c>
      <c r="L32" s="60"/>
      <c r="M32" s="39"/>
      <c r="N32" s="39"/>
      <c r="R32" s="69"/>
      <c r="S32" s="39"/>
      <c r="T32" s="56"/>
      <c r="U32" s="39"/>
      <c r="AF32" s="220"/>
      <c r="AI32" s="84"/>
      <c r="AL32" s="221"/>
    </row>
    <row r="33" spans="2:39" ht="18" customHeight="1">
      <c r="B33" s="48"/>
      <c r="C33" s="52" t="s">
        <v>13</v>
      </c>
      <c r="D33" s="53">
        <f t="shared" ref="D33:J33" si="5">SUM(D29:D32)</f>
        <v>17700</v>
      </c>
      <c r="E33" s="53">
        <f t="shared" si="5"/>
        <v>18400</v>
      </c>
      <c r="F33" s="53">
        <f t="shared" si="5"/>
        <v>36100</v>
      </c>
      <c r="G33" s="53">
        <f t="shared" si="5"/>
        <v>18400</v>
      </c>
      <c r="H33" s="53">
        <f t="shared" si="5"/>
        <v>19500</v>
      </c>
      <c r="I33" s="53">
        <f t="shared" si="5"/>
        <v>37900</v>
      </c>
      <c r="J33" s="53">
        <f t="shared" si="5"/>
        <v>74000</v>
      </c>
      <c r="L33" s="176">
        <v>67969</v>
      </c>
      <c r="M33" s="61">
        <f>J33-L33</f>
        <v>6031</v>
      </c>
      <c r="N33" s="62">
        <f>(J33/L33)-1</f>
        <v>8.8731627653783285E-2</v>
      </c>
      <c r="P33" s="54"/>
      <c r="Q33" s="54"/>
      <c r="R33" s="72">
        <f>99/12</f>
        <v>8.25</v>
      </c>
      <c r="S33" s="61">
        <f>シス基盤!K35</f>
        <v>8</v>
      </c>
      <c r="T33" s="73">
        <f>S33-R33</f>
        <v>-0.25</v>
      </c>
      <c r="U33" s="62">
        <f>(S33/R33)-1</f>
        <v>-3.0303030303030276E-2</v>
      </c>
      <c r="V33" s="30">
        <v>99</v>
      </c>
      <c r="W33" s="30">
        <v>93</v>
      </c>
      <c r="X33" s="30">
        <v>96</v>
      </c>
      <c r="Y33" s="30">
        <v>0</v>
      </c>
      <c r="Z33" s="30">
        <v>105</v>
      </c>
      <c r="AA33" s="30">
        <v>3</v>
      </c>
      <c r="AC33" s="30">
        <v>96</v>
      </c>
      <c r="AF33" s="223">
        <f>SUM(W33)/12</f>
        <v>7.75</v>
      </c>
      <c r="AG33" s="224">
        <f>SUM(X33:Y33)/12</f>
        <v>8</v>
      </c>
      <c r="AH33" s="224" t="s">
        <v>91</v>
      </c>
      <c r="AI33" s="225">
        <f>AG33/AF33</f>
        <v>1.032258064516129</v>
      </c>
      <c r="AJ33" s="226">
        <f>L33/AF33</f>
        <v>8770.1935483870966</v>
      </c>
      <c r="AK33" s="226">
        <f>J33/AG33</f>
        <v>9250</v>
      </c>
      <c r="AL33" s="227">
        <f>AK33/AJ33</f>
        <v>1.0547087642896027</v>
      </c>
      <c r="AM33" s="30" t="s">
        <v>78</v>
      </c>
    </row>
    <row r="34" spans="2:39" ht="9" customHeight="1"/>
    <row r="35" spans="2:39" ht="18.75" customHeight="1">
      <c r="B35" s="396" t="s">
        <v>92</v>
      </c>
      <c r="C35" s="386"/>
      <c r="D35" s="49">
        <f t="shared" ref="D35:J35" si="6">SUM(D8,D13,D18,D23,D28,D33)</f>
        <v>102466</v>
      </c>
      <c r="E35" s="49">
        <f t="shared" si="6"/>
        <v>101824</v>
      </c>
      <c r="F35" s="50">
        <f t="shared" si="6"/>
        <v>204290</v>
      </c>
      <c r="G35" s="49">
        <f t="shared" si="6"/>
        <v>100962</v>
      </c>
      <c r="H35" s="49">
        <f t="shared" si="6"/>
        <v>106137</v>
      </c>
      <c r="I35" s="50">
        <f t="shared" si="6"/>
        <v>207099</v>
      </c>
      <c r="J35" s="51">
        <f t="shared" si="6"/>
        <v>411389</v>
      </c>
      <c r="L35" s="20">
        <f>SUM(L33,L13,L28,L23,L18,L8)</f>
        <v>385768</v>
      </c>
      <c r="M35" s="20">
        <f>J35-L35</f>
        <v>25621</v>
      </c>
      <c r="N35" s="58">
        <f>J35/L35</f>
        <v>1.0664155658323138</v>
      </c>
      <c r="P35" s="187"/>
      <c r="Q35" s="84"/>
      <c r="R35" s="65">
        <f>SUM(R8,R18,R23,R28,R33)</f>
        <v>58.166666666666664</v>
      </c>
      <c r="S35" s="20" t="e">
        <f>SUM(S8,S18,S23,S28,S33)</f>
        <v>#REF!</v>
      </c>
      <c r="T35" s="66" t="e">
        <f>S35-R35</f>
        <v>#REF!</v>
      </c>
    </row>
    <row r="36" spans="2:39" ht="18.75" customHeight="1">
      <c r="B36" s="394" t="s">
        <v>93</v>
      </c>
      <c r="C36" s="395"/>
      <c r="D36" s="36">
        <f>SUM(D8,D13,D18,D28,D33)</f>
        <v>98466</v>
      </c>
      <c r="E36" s="36">
        <f>SUM(E8,E13,E18,E28,E33)</f>
        <v>97824</v>
      </c>
      <c r="F36" s="37">
        <f>SUM(F8,E13,F18,F28,F33)</f>
        <v>189790</v>
      </c>
      <c r="G36" s="36">
        <f>SUM(G8,G13,G18,G28,G33)</f>
        <v>96962</v>
      </c>
      <c r="H36" s="36">
        <f>SUM(H8,H13,H18,H28,H33)</f>
        <v>102137</v>
      </c>
      <c r="I36" s="37">
        <f>SUM(I8,I13,I18,I28,I33)</f>
        <v>199099</v>
      </c>
      <c r="J36" s="38">
        <f>SUM(J8,J13,J18,J28,J33)</f>
        <v>395389</v>
      </c>
      <c r="L36" s="26">
        <f>SUM(L33,L13,L28,L18,L8)</f>
        <v>370178</v>
      </c>
      <c r="M36" s="26">
        <f>J36-L36</f>
        <v>25211</v>
      </c>
      <c r="N36" s="76">
        <f>J36/L36</f>
        <v>1.0681050737753188</v>
      </c>
      <c r="P36" s="187"/>
      <c r="Q36" s="84"/>
      <c r="R36" s="78">
        <f>657/12</f>
        <v>54.75</v>
      </c>
      <c r="S36" s="36" t="e">
        <f>SUM(S8,S18,S28,S33)</f>
        <v>#REF!</v>
      </c>
      <c r="T36" s="79" t="e">
        <f>S36-R36</f>
        <v>#REF!</v>
      </c>
    </row>
    <row r="37" spans="2:39" ht="18.75" customHeight="1">
      <c r="B37" s="391" t="s">
        <v>94</v>
      </c>
      <c r="C37" s="392"/>
      <c r="D37" s="45">
        <f t="shared" ref="D37:J37" si="7">D23</f>
        <v>4000</v>
      </c>
      <c r="E37" s="45">
        <f t="shared" si="7"/>
        <v>4000</v>
      </c>
      <c r="F37" s="46">
        <f t="shared" si="7"/>
        <v>8000</v>
      </c>
      <c r="G37" s="45">
        <f t="shared" si="7"/>
        <v>4000</v>
      </c>
      <c r="H37" s="45">
        <f t="shared" si="7"/>
        <v>4000</v>
      </c>
      <c r="I37" s="46">
        <f t="shared" si="7"/>
        <v>8000</v>
      </c>
      <c r="J37" s="47">
        <f t="shared" si="7"/>
        <v>16000</v>
      </c>
      <c r="L37" s="28">
        <f>L23</f>
        <v>15590</v>
      </c>
      <c r="M37" s="28">
        <f>J37-L37</f>
        <v>410</v>
      </c>
      <c r="N37" s="77">
        <f>J37/L37</f>
        <v>1.0262989095574087</v>
      </c>
      <c r="R37" s="80">
        <f>41/12</f>
        <v>3.4166666666666665</v>
      </c>
      <c r="S37" s="45">
        <f>S23</f>
        <v>2</v>
      </c>
      <c r="T37" s="81">
        <f>S37-R37</f>
        <v>-1.4166666666666665</v>
      </c>
    </row>
    <row r="39" spans="2:39" hidden="1">
      <c r="B39" s="387"/>
      <c r="C39" s="387"/>
      <c r="J39" s="17"/>
      <c r="L39" s="85" t="s">
        <v>95</v>
      </c>
      <c r="M39" s="31" t="s">
        <v>65</v>
      </c>
      <c r="N39" s="31" t="s">
        <v>62</v>
      </c>
    </row>
    <row r="40" spans="2:39" hidden="1">
      <c r="J40" s="54"/>
      <c r="L40" s="17">
        <v>409200</v>
      </c>
      <c r="M40" s="54">
        <f>L35-L40</f>
        <v>-23432</v>
      </c>
      <c r="N40" s="84">
        <f>L40/L35-1</f>
        <v>6.0741170859169191E-2</v>
      </c>
    </row>
    <row r="42" spans="2:39" ht="15" customHeight="1" thickBot="1"/>
    <row r="43" spans="2:39" ht="14.25" customHeight="1">
      <c r="B43" s="352" t="s">
        <v>58</v>
      </c>
      <c r="C43" s="353" t="s">
        <v>96</v>
      </c>
      <c r="D43" s="354" t="s">
        <v>11</v>
      </c>
      <c r="E43" s="354" t="s">
        <v>12</v>
      </c>
      <c r="F43" s="354" t="s">
        <v>59</v>
      </c>
      <c r="G43" s="354" t="s">
        <v>14</v>
      </c>
      <c r="H43" s="354" t="s">
        <v>15</v>
      </c>
      <c r="I43" s="354" t="s">
        <v>59</v>
      </c>
      <c r="J43" s="355" t="s">
        <v>16</v>
      </c>
      <c r="L43" s="30" t="s">
        <v>97</v>
      </c>
    </row>
    <row r="44" spans="2:39" ht="14.25" customHeight="1">
      <c r="B44" s="356" t="s">
        <v>74</v>
      </c>
      <c r="C44" s="88" t="s">
        <v>98</v>
      </c>
      <c r="D44" s="292">
        <f>SUM(第一!E19:E24)</f>
        <v>33260</v>
      </c>
      <c r="E44" s="292">
        <f>SUM(第一!F19:F24)</f>
        <v>32710</v>
      </c>
      <c r="F44" s="293">
        <f>SUM(D44:E44)</f>
        <v>65970</v>
      </c>
      <c r="G44" s="292">
        <f>SUM(第一!H19:H24)</f>
        <v>31570</v>
      </c>
      <c r="H44" s="292">
        <f>SUM(第一!I19:I24)</f>
        <v>33140</v>
      </c>
      <c r="I44" s="293">
        <f>SUM(G44:H44)</f>
        <v>64710</v>
      </c>
      <c r="J44" s="357">
        <f>SUM(F44,I44)</f>
        <v>130680</v>
      </c>
      <c r="L44" s="30" t="s">
        <v>99</v>
      </c>
      <c r="M44" s="54"/>
    </row>
    <row r="45" spans="2:39" ht="14.25" customHeight="1">
      <c r="B45" s="93"/>
      <c r="C45" s="272" t="s">
        <v>100</v>
      </c>
      <c r="D45" s="294">
        <f>第一!E25</f>
        <v>0</v>
      </c>
      <c r="E45" s="294">
        <f>第一!F25</f>
        <v>440</v>
      </c>
      <c r="F45" s="295">
        <f>SUM(D45:E45)</f>
        <v>440</v>
      </c>
      <c r="G45" s="294">
        <f>第一!H25</f>
        <v>420</v>
      </c>
      <c r="H45" s="294">
        <f>第一!I25</f>
        <v>450</v>
      </c>
      <c r="I45" s="295">
        <f>SUM(G45:H45)</f>
        <v>870</v>
      </c>
      <c r="J45" s="358">
        <f>SUM(F45,I45)</f>
        <v>1310</v>
      </c>
      <c r="L45" s="30" t="s">
        <v>101</v>
      </c>
      <c r="M45" s="54"/>
    </row>
    <row r="46" spans="2:39" ht="14.25" customHeight="1">
      <c r="B46" s="93"/>
      <c r="C46" s="276" t="s">
        <v>31</v>
      </c>
      <c r="D46" s="296">
        <f>SUM(D44:D45)</f>
        <v>33260</v>
      </c>
      <c r="E46" s="296">
        <f>SUM(E44:E45)</f>
        <v>33150</v>
      </c>
      <c r="F46" s="297">
        <f>SUM(D46:E46)</f>
        <v>66410</v>
      </c>
      <c r="G46" s="296">
        <f>SUM(G44:G45)</f>
        <v>31990</v>
      </c>
      <c r="H46" s="296">
        <f>SUM(H44:H45)</f>
        <v>33590</v>
      </c>
      <c r="I46" s="297">
        <f>SUM(G46:H46)</f>
        <v>65580</v>
      </c>
      <c r="J46" s="341">
        <f>SUM(F46,I46)</f>
        <v>131990</v>
      </c>
      <c r="L46" s="30" t="s">
        <v>102</v>
      </c>
      <c r="M46" s="54"/>
    </row>
    <row r="47" spans="2:39" ht="14.25" customHeight="1">
      <c r="B47" s="93"/>
      <c r="C47" s="273" t="s">
        <v>103</v>
      </c>
      <c r="D47" s="298">
        <f>SUM(第一!E26,第一!E27)</f>
        <v>140</v>
      </c>
      <c r="E47" s="298">
        <f>SUM(第一!F26,第一!F27)</f>
        <v>150</v>
      </c>
      <c r="F47" s="299">
        <f>SUM(D47:E47)</f>
        <v>290</v>
      </c>
      <c r="G47" s="298">
        <f>SUM(第一!H26,第一!H27)</f>
        <v>1310</v>
      </c>
      <c r="H47" s="298">
        <f>SUM(第一!I26,第一!I27)</f>
        <v>1410</v>
      </c>
      <c r="I47" s="299">
        <f>SUM(G47:H47)</f>
        <v>2720</v>
      </c>
      <c r="J47" s="314">
        <f>SUM(F47,I47)</f>
        <v>3010</v>
      </c>
      <c r="L47" s="30"/>
    </row>
    <row r="48" spans="2:39" ht="14.25" customHeight="1">
      <c r="B48" s="93"/>
      <c r="C48" s="279" t="s">
        <v>16</v>
      </c>
      <c r="D48" s="280">
        <f>SUM(D44:D45,D47)</f>
        <v>33400</v>
      </c>
      <c r="E48" s="280">
        <f>SUM(E44:E45,E47)</f>
        <v>33300</v>
      </c>
      <c r="F48" s="300">
        <f>SUM(D48:E48)</f>
        <v>66700</v>
      </c>
      <c r="G48" s="280">
        <f>SUM(G44:G45,G47)</f>
        <v>33300</v>
      </c>
      <c r="H48" s="280">
        <f>SUM(H44:H45,H47)</f>
        <v>35000</v>
      </c>
      <c r="I48" s="300">
        <f>SUM(G48:H48)</f>
        <v>68300</v>
      </c>
      <c r="J48" s="342">
        <f>SUM(F48,I48)</f>
        <v>135000</v>
      </c>
    </row>
    <row r="49" spans="2:10" ht="14.25" customHeight="1" thickBot="1">
      <c r="B49" s="94"/>
      <c r="C49" s="282" t="s">
        <v>104</v>
      </c>
      <c r="D49" s="283">
        <f t="shared" ref="D49:J49" si="8">D46/D48</f>
        <v>0.99580838323353293</v>
      </c>
      <c r="E49" s="283">
        <f t="shared" si="8"/>
        <v>0.99549549549549554</v>
      </c>
      <c r="F49" s="284">
        <f t="shared" si="8"/>
        <v>0.9956521739130435</v>
      </c>
      <c r="G49" s="283">
        <f t="shared" si="8"/>
        <v>0.96066066066066069</v>
      </c>
      <c r="H49" s="283">
        <f t="shared" si="8"/>
        <v>0.95971428571428574</v>
      </c>
      <c r="I49" s="284">
        <f t="shared" si="8"/>
        <v>0.96017569546120063</v>
      </c>
      <c r="J49" s="285">
        <f t="shared" si="8"/>
        <v>0.97770370370370374</v>
      </c>
    </row>
    <row r="50" spans="2:10" ht="14.25" customHeight="1">
      <c r="B50" s="90" t="s">
        <v>79</v>
      </c>
      <c r="C50" s="91" t="s">
        <v>98</v>
      </c>
      <c r="D50" s="308">
        <f>SUM(第一開発!E6:E7)</f>
        <v>3985</v>
      </c>
      <c r="E50" s="308">
        <f>SUM(第一開発!F6:F7)</f>
        <v>4085</v>
      </c>
      <c r="F50" s="309">
        <f>SUM(D50:E50)</f>
        <v>8070</v>
      </c>
      <c r="G50" s="308">
        <f>SUM(第一開発!H6:H7)</f>
        <v>3685</v>
      </c>
      <c r="H50" s="308">
        <f>SUM(第一開発!I6:I7)</f>
        <v>3685</v>
      </c>
      <c r="I50" s="309">
        <f>SUM(G50:H50)</f>
        <v>7370</v>
      </c>
      <c r="J50" s="359">
        <f>SUM(F50,I50)</f>
        <v>15440</v>
      </c>
    </row>
    <row r="51" spans="2:10" ht="14.25" customHeight="1">
      <c r="B51" s="93"/>
      <c r="C51" s="204" t="s">
        <v>100</v>
      </c>
      <c r="D51" s="301">
        <f>SUM(第一開発!E8)</f>
        <v>1800</v>
      </c>
      <c r="E51" s="301">
        <f>SUM(第一開発!F8)</f>
        <v>2700</v>
      </c>
      <c r="F51" s="302">
        <f>SUM(D51:E51)</f>
        <v>4500</v>
      </c>
      <c r="G51" s="301">
        <f>SUM(第一開発!H8)</f>
        <v>2700</v>
      </c>
      <c r="H51" s="301">
        <f>SUM(第一開発!I8)</f>
        <v>2700</v>
      </c>
      <c r="I51" s="302">
        <f>SUM(G51:H51)</f>
        <v>5400</v>
      </c>
      <c r="J51" s="313">
        <f>SUM(F51,I51)</f>
        <v>9900</v>
      </c>
    </row>
    <row r="52" spans="2:10" ht="14.25" customHeight="1">
      <c r="B52" s="93"/>
      <c r="C52" s="276" t="s">
        <v>31</v>
      </c>
      <c r="D52" s="296">
        <f>SUM(D50:D51)</f>
        <v>5785</v>
      </c>
      <c r="E52" s="296">
        <f>SUM(E50:E51)</f>
        <v>6785</v>
      </c>
      <c r="F52" s="297">
        <f>SUM(D52:E52)</f>
        <v>12570</v>
      </c>
      <c r="G52" s="296">
        <f>SUM(G50:G51)</f>
        <v>6385</v>
      </c>
      <c r="H52" s="296">
        <f>SUM(H50:H51)</f>
        <v>6385</v>
      </c>
      <c r="I52" s="297">
        <f>SUM(G52:H52)</f>
        <v>12770</v>
      </c>
      <c r="J52" s="341">
        <f>SUM(F52,I52)</f>
        <v>25340</v>
      </c>
    </row>
    <row r="53" spans="2:10" ht="14.25" customHeight="1">
      <c r="B53" s="93"/>
      <c r="C53" s="89" t="s">
        <v>103</v>
      </c>
      <c r="D53" s="303">
        <f>SUM(第一開発!E10,第一開発!E11)</f>
        <v>715</v>
      </c>
      <c r="E53" s="303">
        <f>SUM(第一開発!F10,第一開発!F11)</f>
        <v>815</v>
      </c>
      <c r="F53" s="304">
        <f>SUM(D53:E53)</f>
        <v>1530</v>
      </c>
      <c r="G53" s="303">
        <f>SUM(第一開発!H10,第一開発!H11)</f>
        <v>815</v>
      </c>
      <c r="H53" s="303">
        <f>SUM(第一開発!I10,第一開発!I11)</f>
        <v>815</v>
      </c>
      <c r="I53" s="304">
        <f>SUM(G53:H53)</f>
        <v>1630</v>
      </c>
      <c r="J53" s="360">
        <f>SUM(F53,I53)</f>
        <v>3160</v>
      </c>
    </row>
    <row r="54" spans="2:10" ht="14.25" customHeight="1">
      <c r="B54" s="93"/>
      <c r="C54" s="279" t="s">
        <v>16</v>
      </c>
      <c r="D54" s="280">
        <f>SUM(D50:D51,D53)</f>
        <v>6500</v>
      </c>
      <c r="E54" s="280">
        <f>SUM(E50:E51,E53)</f>
        <v>7600</v>
      </c>
      <c r="F54" s="300">
        <f>SUM(D54:E54)</f>
        <v>14100</v>
      </c>
      <c r="G54" s="280">
        <f>SUM(G50:G51,G53)</f>
        <v>7200</v>
      </c>
      <c r="H54" s="280">
        <f>SUM(H50:H51,H53)</f>
        <v>7200</v>
      </c>
      <c r="I54" s="300">
        <f>SUM(G54:H54)</f>
        <v>14400</v>
      </c>
      <c r="J54" s="342">
        <f>SUM(F54,I54)</f>
        <v>28500</v>
      </c>
    </row>
    <row r="55" spans="2:10" ht="14.25" customHeight="1" thickBot="1">
      <c r="B55" s="94"/>
      <c r="C55" s="282" t="s">
        <v>104</v>
      </c>
      <c r="D55" s="283">
        <f t="shared" ref="D55:J55" si="9">D52/D54</f>
        <v>0.89</v>
      </c>
      <c r="E55" s="283">
        <f t="shared" si="9"/>
        <v>0.89276315789473681</v>
      </c>
      <c r="F55" s="284">
        <f t="shared" si="9"/>
        <v>0.89148936170212767</v>
      </c>
      <c r="G55" s="283">
        <f t="shared" si="9"/>
        <v>0.88680555555555551</v>
      </c>
      <c r="H55" s="283">
        <f t="shared" si="9"/>
        <v>0.88680555555555551</v>
      </c>
      <c r="I55" s="284">
        <f t="shared" si="9"/>
        <v>0.88680555555555551</v>
      </c>
      <c r="J55" s="285">
        <f t="shared" si="9"/>
        <v>0.88912280701754387</v>
      </c>
    </row>
    <row r="56" spans="2:10" ht="14.25" customHeight="1">
      <c r="B56" s="90" t="s">
        <v>82</v>
      </c>
      <c r="C56" s="91" t="s">
        <v>98</v>
      </c>
      <c r="D56" s="308">
        <f>SUM(第ニ!E6)</f>
        <v>20400</v>
      </c>
      <c r="E56" s="308">
        <f>SUM(第ニ!F6)</f>
        <v>20400</v>
      </c>
      <c r="F56" s="309">
        <f>SUM(D56:E56)</f>
        <v>40800</v>
      </c>
      <c r="G56" s="308">
        <f>SUM(第ニ!H6)</f>
        <v>20400</v>
      </c>
      <c r="H56" s="308">
        <f>SUM(第ニ!I6)</f>
        <v>20400</v>
      </c>
      <c r="I56" s="309">
        <f>SUM(G56:H56)</f>
        <v>40800</v>
      </c>
      <c r="J56" s="359">
        <f>SUM(F56,I56)</f>
        <v>81600</v>
      </c>
    </row>
    <row r="57" spans="2:10" ht="14.25" customHeight="1">
      <c r="B57" s="93"/>
      <c r="C57" s="206" t="s">
        <v>100</v>
      </c>
      <c r="D57" s="305">
        <v>0</v>
      </c>
      <c r="E57" s="305">
        <v>0</v>
      </c>
      <c r="F57" s="306">
        <v>0</v>
      </c>
      <c r="G57" s="305">
        <v>0</v>
      </c>
      <c r="H57" s="305">
        <v>0</v>
      </c>
      <c r="I57" s="306">
        <v>0</v>
      </c>
      <c r="J57" s="361">
        <v>0</v>
      </c>
    </row>
    <row r="58" spans="2:10" ht="14.25" customHeight="1">
      <c r="B58" s="93"/>
      <c r="C58" s="276" t="s">
        <v>31</v>
      </c>
      <c r="D58" s="296">
        <f>SUM(D56:D57)</f>
        <v>20400</v>
      </c>
      <c r="E58" s="296">
        <f>SUM(E56:E57)</f>
        <v>20400</v>
      </c>
      <c r="F58" s="297">
        <f>SUM(D58:E58)</f>
        <v>40800</v>
      </c>
      <c r="G58" s="296">
        <f>SUM(G56:G57)</f>
        <v>20400</v>
      </c>
      <c r="H58" s="296">
        <f>SUM(H56:H57)</f>
        <v>20400</v>
      </c>
      <c r="I58" s="297">
        <f>SUM(G58:H58)</f>
        <v>40800</v>
      </c>
      <c r="J58" s="341">
        <f>SUM(F58,I58)</f>
        <v>81600</v>
      </c>
    </row>
    <row r="59" spans="2:10" ht="14.25" customHeight="1">
      <c r="B59" s="93"/>
      <c r="C59" s="89" t="s">
        <v>103</v>
      </c>
      <c r="D59" s="307">
        <f>SUM(第ニ!E7,第ニ!E8)</f>
        <v>1100</v>
      </c>
      <c r="E59" s="307">
        <f>SUM(第ニ!F7,第ニ!F8)</f>
        <v>1100</v>
      </c>
      <c r="F59" s="304">
        <f>SUM(D59:E59)</f>
        <v>2200</v>
      </c>
      <c r="G59" s="307">
        <f>SUM(第ニ!H7,第ニ!H8)</f>
        <v>1100</v>
      </c>
      <c r="H59" s="307">
        <f>SUM(第ニ!I7,第ニ!I8)</f>
        <v>1100</v>
      </c>
      <c r="I59" s="304">
        <f>SUM(G59:H59)</f>
        <v>2200</v>
      </c>
      <c r="J59" s="360">
        <f>SUM(F59,I59)</f>
        <v>4400</v>
      </c>
    </row>
    <row r="60" spans="2:10" ht="14.25" customHeight="1">
      <c r="B60" s="93"/>
      <c r="C60" s="279" t="s">
        <v>16</v>
      </c>
      <c r="D60" s="280">
        <f>SUM(D56:D57,D59)</f>
        <v>21500</v>
      </c>
      <c r="E60" s="280">
        <f>SUM(E56:E57,E59)</f>
        <v>21500</v>
      </c>
      <c r="F60" s="300">
        <f>SUM(D60:E60)</f>
        <v>43000</v>
      </c>
      <c r="G60" s="280">
        <f>SUM(G56:G57,G59)</f>
        <v>21500</v>
      </c>
      <c r="H60" s="280">
        <f>SUM(H56:H57,H59)</f>
        <v>21500</v>
      </c>
      <c r="I60" s="300">
        <f>SUM(G60:H60)</f>
        <v>43000</v>
      </c>
      <c r="J60" s="342">
        <f>SUM(F60,I60)</f>
        <v>86000</v>
      </c>
    </row>
    <row r="61" spans="2:10" ht="14.25" customHeight="1" thickBot="1">
      <c r="B61" s="94"/>
      <c r="C61" s="282" t="s">
        <v>104</v>
      </c>
      <c r="D61" s="283">
        <f t="shared" ref="D61:J61" si="10">D58/D60</f>
        <v>0.94883720930232562</v>
      </c>
      <c r="E61" s="283">
        <f t="shared" si="10"/>
        <v>0.94883720930232562</v>
      </c>
      <c r="F61" s="284">
        <f t="shared" si="10"/>
        <v>0.94883720930232562</v>
      </c>
      <c r="G61" s="283">
        <f t="shared" si="10"/>
        <v>0.94883720930232562</v>
      </c>
      <c r="H61" s="283">
        <f t="shared" si="10"/>
        <v>0.94883720930232562</v>
      </c>
      <c r="I61" s="284">
        <f t="shared" si="10"/>
        <v>0.94883720930232562</v>
      </c>
      <c r="J61" s="285">
        <f t="shared" si="10"/>
        <v>0.94883720930232562</v>
      </c>
    </row>
    <row r="62" spans="2:10" ht="14.25" customHeight="1">
      <c r="B62" s="90" t="s">
        <v>105</v>
      </c>
      <c r="C62" s="91" t="s">
        <v>98</v>
      </c>
      <c r="D62" s="308">
        <f>'第ニ (CO)'!E6</f>
        <v>3897</v>
      </c>
      <c r="E62" s="308">
        <f>'第ニ (CO)'!F6</f>
        <v>3897</v>
      </c>
      <c r="F62" s="309">
        <f>SUM(D62:E62)</f>
        <v>7794</v>
      </c>
      <c r="G62" s="308">
        <f>'第ニ (CO)'!H6</f>
        <v>3897</v>
      </c>
      <c r="H62" s="308">
        <f>'第ニ (CO)'!I6</f>
        <v>3897</v>
      </c>
      <c r="I62" s="309">
        <f>SUM(G62:H62)</f>
        <v>7794</v>
      </c>
      <c r="J62" s="359">
        <f>SUM(F62,I62)</f>
        <v>15588</v>
      </c>
    </row>
    <row r="63" spans="2:10" ht="14.25" customHeight="1">
      <c r="B63" s="93"/>
      <c r="C63" s="206" t="s">
        <v>100</v>
      </c>
      <c r="D63" s="305">
        <v>0</v>
      </c>
      <c r="E63" s="305">
        <v>0</v>
      </c>
      <c r="F63" s="306">
        <v>0</v>
      </c>
      <c r="G63" s="305">
        <v>0</v>
      </c>
      <c r="H63" s="305">
        <v>0</v>
      </c>
      <c r="I63" s="306">
        <v>0</v>
      </c>
      <c r="J63" s="361">
        <v>0</v>
      </c>
    </row>
    <row r="64" spans="2:10" ht="14.25" customHeight="1">
      <c r="B64" s="93"/>
      <c r="C64" s="276" t="s">
        <v>31</v>
      </c>
      <c r="D64" s="296">
        <f>SUM(D62:D63)</f>
        <v>3897</v>
      </c>
      <c r="E64" s="296">
        <f>SUM(E62:E63)</f>
        <v>3897</v>
      </c>
      <c r="F64" s="297">
        <f>SUM(D64:E64)</f>
        <v>7794</v>
      </c>
      <c r="G64" s="296">
        <f>SUM(G62:G63)</f>
        <v>3897</v>
      </c>
      <c r="H64" s="296">
        <f>SUM(H62:H63)</f>
        <v>3897</v>
      </c>
      <c r="I64" s="297">
        <f>SUM(G64:H64)</f>
        <v>7794</v>
      </c>
      <c r="J64" s="341">
        <f>SUM(F64,I64)</f>
        <v>15588</v>
      </c>
    </row>
    <row r="65" spans="2:10" ht="14.25" customHeight="1">
      <c r="B65" s="93"/>
      <c r="C65" s="89" t="s">
        <v>103</v>
      </c>
      <c r="D65" s="303">
        <f>SUM('第ニ (CO)'!E7)</f>
        <v>103</v>
      </c>
      <c r="E65" s="303">
        <f>SUM('第ニ (CO)'!F7)</f>
        <v>103</v>
      </c>
      <c r="F65" s="304">
        <f>SUM(D65:E65)</f>
        <v>206</v>
      </c>
      <c r="G65" s="303">
        <f>SUM('第ニ (CO)'!H7)</f>
        <v>103</v>
      </c>
      <c r="H65" s="303">
        <f>SUM('第ニ (CO)'!I7)</f>
        <v>103</v>
      </c>
      <c r="I65" s="304">
        <f>SUM(G65:H65)</f>
        <v>206</v>
      </c>
      <c r="J65" s="360">
        <f>SUM(F65,I65)</f>
        <v>412</v>
      </c>
    </row>
    <row r="66" spans="2:10" ht="14.25" customHeight="1">
      <c r="B66" s="93"/>
      <c r="C66" s="279" t="s">
        <v>16</v>
      </c>
      <c r="D66" s="280">
        <f>SUM(D62:D63,D65)</f>
        <v>4000</v>
      </c>
      <c r="E66" s="280">
        <f>SUM(E62:E63,E65)</f>
        <v>4000</v>
      </c>
      <c r="F66" s="300">
        <f>SUM(D66:E66)</f>
        <v>8000</v>
      </c>
      <c r="G66" s="280">
        <f>SUM(G62:G63,G65)</f>
        <v>4000</v>
      </c>
      <c r="H66" s="280">
        <f>SUM(H62:H63,H65)</f>
        <v>4000</v>
      </c>
      <c r="I66" s="300">
        <f>SUM(G66:H66)</f>
        <v>8000</v>
      </c>
      <c r="J66" s="342">
        <f>SUM(F66,I66)</f>
        <v>16000</v>
      </c>
    </row>
    <row r="67" spans="2:10" ht="14.25" customHeight="1" thickBot="1">
      <c r="B67" s="94"/>
      <c r="C67" s="282" t="s">
        <v>104</v>
      </c>
      <c r="D67" s="283">
        <f t="shared" ref="D67:J67" si="11">D64/D66</f>
        <v>0.97424999999999995</v>
      </c>
      <c r="E67" s="283">
        <f t="shared" si="11"/>
        <v>0.97424999999999995</v>
      </c>
      <c r="F67" s="284">
        <f t="shared" si="11"/>
        <v>0.97424999999999995</v>
      </c>
      <c r="G67" s="283">
        <f t="shared" si="11"/>
        <v>0.97424999999999995</v>
      </c>
      <c r="H67" s="283">
        <f t="shared" si="11"/>
        <v>0.97424999999999995</v>
      </c>
      <c r="I67" s="284">
        <f t="shared" si="11"/>
        <v>0.97424999999999995</v>
      </c>
      <c r="J67" s="285">
        <f t="shared" si="11"/>
        <v>0.97424999999999995</v>
      </c>
    </row>
    <row r="68" spans="2:10" ht="14.25" customHeight="1">
      <c r="B68" s="90" t="s">
        <v>88</v>
      </c>
      <c r="C68" s="91" t="s">
        <v>98</v>
      </c>
      <c r="D68" s="308">
        <f>SUM(アプ開発!E12)</f>
        <v>19366</v>
      </c>
      <c r="E68" s="308">
        <f>SUM(アプ開発!F12)</f>
        <v>17024</v>
      </c>
      <c r="F68" s="309">
        <f>SUM(D68:E68)</f>
        <v>36390</v>
      </c>
      <c r="G68" s="308">
        <f>SUM(アプ開発!H12)</f>
        <v>16562</v>
      </c>
      <c r="H68" s="308">
        <f>SUM(アプ開発!I12)</f>
        <v>18937</v>
      </c>
      <c r="I68" s="309">
        <f>SUM(G68:H68)</f>
        <v>35499</v>
      </c>
      <c r="J68" s="359">
        <f>SUM(F68,I68)</f>
        <v>71889</v>
      </c>
    </row>
    <row r="69" spans="2:10" ht="14.25" customHeight="1">
      <c r="B69" s="93"/>
      <c r="C69" s="204" t="s">
        <v>100</v>
      </c>
      <c r="D69" s="301">
        <f>SUM(アプ開発!E13)</f>
        <v>714</v>
      </c>
      <c r="E69" s="301">
        <f>SUM(アプ開発!F13)</f>
        <v>714</v>
      </c>
      <c r="F69" s="302">
        <f>SUM(D69:E69)</f>
        <v>1428</v>
      </c>
      <c r="G69" s="301">
        <f>SUM(アプ開発!H13)</f>
        <v>714</v>
      </c>
      <c r="H69" s="301">
        <f>SUM(アプ開発!I13)</f>
        <v>714</v>
      </c>
      <c r="I69" s="302">
        <f>SUM(G69:H69)</f>
        <v>1428</v>
      </c>
      <c r="J69" s="313">
        <f>SUM(F69,I69)</f>
        <v>2856</v>
      </c>
    </row>
    <row r="70" spans="2:10" ht="14.25" customHeight="1">
      <c r="B70" s="93"/>
      <c r="C70" s="276" t="s">
        <v>31</v>
      </c>
      <c r="D70" s="296">
        <f>SUM(D68:D69)</f>
        <v>20080</v>
      </c>
      <c r="E70" s="296">
        <f>SUM(E68:E69)</f>
        <v>17738</v>
      </c>
      <c r="F70" s="297">
        <f>SUM(D70:E70)</f>
        <v>37818</v>
      </c>
      <c r="G70" s="296">
        <f>SUM(G68:G69)</f>
        <v>17276</v>
      </c>
      <c r="H70" s="296">
        <f>SUM(H68:H69)</f>
        <v>19651</v>
      </c>
      <c r="I70" s="297">
        <f>SUM(G70:H70)</f>
        <v>36927</v>
      </c>
      <c r="J70" s="341">
        <f>SUM(F70,I70)</f>
        <v>74745</v>
      </c>
    </row>
    <row r="71" spans="2:10" ht="14.25" customHeight="1">
      <c r="B71" s="93"/>
      <c r="C71" s="89" t="s">
        <v>103</v>
      </c>
      <c r="D71" s="303">
        <f>SUM(アプ開発!E14,アプ開発!E15,アプ開発!E16)</f>
        <v>476</v>
      </c>
      <c r="E71" s="303">
        <f>SUM(アプ開発!F14,アプ開発!F15,アプ開発!F16)</f>
        <v>476</v>
      </c>
      <c r="F71" s="304">
        <f>SUM(D71:E71)</f>
        <v>952</v>
      </c>
      <c r="G71" s="303">
        <f>SUM(アプ開発!H14,アプ開発!H15,アプ開発!H16)</f>
        <v>1076</v>
      </c>
      <c r="H71" s="303">
        <f>SUM(アプ開発!I14,アプ開発!I15,アプ開発!I16)</f>
        <v>976</v>
      </c>
      <c r="I71" s="304">
        <f>SUM(G71:H71)</f>
        <v>2052</v>
      </c>
      <c r="J71" s="360">
        <f>SUM(F71,I71)</f>
        <v>3004</v>
      </c>
    </row>
    <row r="72" spans="2:10" ht="14.25" customHeight="1">
      <c r="B72" s="93"/>
      <c r="C72" s="279" t="s">
        <v>16</v>
      </c>
      <c r="D72" s="280">
        <f>SUM(D68:D69,D71)</f>
        <v>20556</v>
      </c>
      <c r="E72" s="280">
        <f>SUM(E68:E69,E71)</f>
        <v>18214</v>
      </c>
      <c r="F72" s="300">
        <f>SUM(D72:E72)</f>
        <v>38770</v>
      </c>
      <c r="G72" s="280">
        <f>SUM(G68:G69,G71)</f>
        <v>18352</v>
      </c>
      <c r="H72" s="280">
        <f>SUM(H68:H69,H71)</f>
        <v>20627</v>
      </c>
      <c r="I72" s="300">
        <f>SUM(G72:H72)</f>
        <v>38979</v>
      </c>
      <c r="J72" s="342">
        <f>SUM(F72,I72)</f>
        <v>77749</v>
      </c>
    </row>
    <row r="73" spans="2:10" ht="14.25" customHeight="1" thickBot="1">
      <c r="B73" s="94"/>
      <c r="C73" s="282" t="s">
        <v>104</v>
      </c>
      <c r="D73" s="283">
        <f t="shared" ref="D73:J73" si="12">D70/D72</f>
        <v>0.97684374391905038</v>
      </c>
      <c r="E73" s="283">
        <f t="shared" si="12"/>
        <v>0.97386625672559568</v>
      </c>
      <c r="F73" s="284">
        <f t="shared" si="12"/>
        <v>0.97544493164818158</v>
      </c>
      <c r="G73" s="283">
        <f t="shared" si="12"/>
        <v>0.94136878814298164</v>
      </c>
      <c r="H73" s="283">
        <f t="shared" si="12"/>
        <v>0.95268337615746357</v>
      </c>
      <c r="I73" s="284">
        <f t="shared" si="12"/>
        <v>0.94735626876010159</v>
      </c>
      <c r="J73" s="285">
        <f t="shared" si="12"/>
        <v>0.96136284711057374</v>
      </c>
    </row>
    <row r="74" spans="2:10" ht="14.25" customHeight="1">
      <c r="B74" s="90" t="s">
        <v>2</v>
      </c>
      <c r="C74" s="91" t="s">
        <v>98</v>
      </c>
      <c r="D74" s="308">
        <f>SUM(シス基盤!E6,シス基盤!E7,シス基盤!E8,シス基盤!E15,シス基盤!E21)</f>
        <v>17635</v>
      </c>
      <c r="E74" s="308">
        <f>SUM(シス基盤!F6,シス基盤!F7,シス基盤!F8,シス基盤!F15,シス基盤!F21)</f>
        <v>17635</v>
      </c>
      <c r="F74" s="309">
        <f>SUM(D74:E74)</f>
        <v>35270</v>
      </c>
      <c r="G74" s="308">
        <f>SUM(シス基盤!H6,シス基盤!H7,シス基盤!H8,シス基盤!H15,シス基盤!H21)</f>
        <v>17635</v>
      </c>
      <c r="H74" s="308">
        <f>SUM(シス基盤!I6,シス基盤!I7,シス基盤!I8,シス基盤!I15,シス基盤!I21)</f>
        <v>17635</v>
      </c>
      <c r="I74" s="309">
        <f>SUM(G74:H74)</f>
        <v>35270</v>
      </c>
      <c r="J74" s="359">
        <f>SUM(F74,I74)</f>
        <v>70540</v>
      </c>
    </row>
    <row r="75" spans="2:10" ht="14.25" customHeight="1">
      <c r="B75" s="93"/>
      <c r="C75" s="204" t="s">
        <v>100</v>
      </c>
      <c r="D75" s="301">
        <f>SUM(シス基盤!E9)</f>
        <v>0</v>
      </c>
      <c r="E75" s="301">
        <f>SUM(シス基盤!F9)</f>
        <v>450</v>
      </c>
      <c r="F75" s="302">
        <f>SUM(D75:E75)</f>
        <v>450</v>
      </c>
      <c r="G75" s="301">
        <f>SUM(シス基盤!H9)</f>
        <v>450</v>
      </c>
      <c r="H75" s="301">
        <f>シス基盤!I9</f>
        <v>450</v>
      </c>
      <c r="I75" s="302">
        <f>SUM(G75:H75)</f>
        <v>900</v>
      </c>
      <c r="J75" s="313">
        <f>SUM(F75,I75)</f>
        <v>1350</v>
      </c>
    </row>
    <row r="76" spans="2:10" ht="14.25" customHeight="1">
      <c r="B76" s="93"/>
      <c r="C76" s="276" t="s">
        <v>31</v>
      </c>
      <c r="D76" s="296">
        <f>SUM(D74:D75)</f>
        <v>17635</v>
      </c>
      <c r="E76" s="296">
        <f>SUM(E74:E75)</f>
        <v>18085</v>
      </c>
      <c r="F76" s="297">
        <f>SUM(D76:E76)</f>
        <v>35720</v>
      </c>
      <c r="G76" s="296">
        <f>SUM(G74:G75)</f>
        <v>18085</v>
      </c>
      <c r="H76" s="296">
        <f>SUM(H74:H75)</f>
        <v>18085</v>
      </c>
      <c r="I76" s="297">
        <f>SUM(G76:H76)</f>
        <v>36170</v>
      </c>
      <c r="J76" s="341">
        <f>SUM(F76,I76)</f>
        <v>71890</v>
      </c>
    </row>
    <row r="77" spans="2:10" ht="14.25" customHeight="1">
      <c r="B77" s="93"/>
      <c r="C77" s="89" t="s">
        <v>103</v>
      </c>
      <c r="D77" s="303">
        <f>SUM(シス基盤!E10,シス基盤!E11,シス基盤!E12)</f>
        <v>65</v>
      </c>
      <c r="E77" s="303">
        <f>SUM(シス基盤!F10,シス基盤!F11,シス基盤!F12)</f>
        <v>315</v>
      </c>
      <c r="F77" s="304">
        <f>SUM(D77:E77)</f>
        <v>380</v>
      </c>
      <c r="G77" s="303">
        <f>SUM(シス基盤!H10,シス基盤!H11,シス基盤!H12)</f>
        <v>315</v>
      </c>
      <c r="H77" s="303">
        <f>SUM(シス基盤!I10,シス基盤!I11,シス基盤!I22,シス基盤!I12)</f>
        <v>1415</v>
      </c>
      <c r="I77" s="304">
        <f>SUM(G77:H77)</f>
        <v>1730</v>
      </c>
      <c r="J77" s="360">
        <f>SUM(F77,I77)</f>
        <v>2110</v>
      </c>
    </row>
    <row r="78" spans="2:10" ht="14.25" customHeight="1">
      <c r="B78" s="93"/>
      <c r="C78" s="279" t="s">
        <v>16</v>
      </c>
      <c r="D78" s="280">
        <f>SUM(D74:D75,D77)</f>
        <v>17700</v>
      </c>
      <c r="E78" s="280">
        <f>SUM(E74:E75,E77)</f>
        <v>18400</v>
      </c>
      <c r="F78" s="300">
        <f>SUM(D78:E78)</f>
        <v>36100</v>
      </c>
      <c r="G78" s="280">
        <f>SUM(G74:G75,G77)</f>
        <v>18400</v>
      </c>
      <c r="H78" s="280">
        <f>SUM(H74:H75,H77)</f>
        <v>19500</v>
      </c>
      <c r="I78" s="300">
        <f>SUM(G78:H78)</f>
        <v>37900</v>
      </c>
      <c r="J78" s="342">
        <f>SUM(F78,I78)</f>
        <v>74000</v>
      </c>
    </row>
    <row r="79" spans="2:10" ht="14.25" customHeight="1" thickBot="1">
      <c r="B79" s="94"/>
      <c r="C79" s="282" t="s">
        <v>104</v>
      </c>
      <c r="D79" s="283">
        <f t="shared" ref="D79:J79" si="13">D76/D78</f>
        <v>0.99632768361581925</v>
      </c>
      <c r="E79" s="283">
        <f t="shared" si="13"/>
        <v>0.98288043478260867</v>
      </c>
      <c r="F79" s="284">
        <f t="shared" si="13"/>
        <v>0.98947368421052628</v>
      </c>
      <c r="G79" s="283">
        <f t="shared" si="13"/>
        <v>0.98288043478260867</v>
      </c>
      <c r="H79" s="283">
        <f t="shared" si="13"/>
        <v>0.92743589743589738</v>
      </c>
      <c r="I79" s="284">
        <f t="shared" si="13"/>
        <v>0.95435356200527699</v>
      </c>
      <c r="J79" s="285">
        <f t="shared" si="13"/>
        <v>0.9714864864864865</v>
      </c>
    </row>
    <row r="80" spans="2:10" ht="14.25" customHeight="1">
      <c r="B80" s="90" t="s">
        <v>106</v>
      </c>
      <c r="C80" s="91" t="s">
        <v>98</v>
      </c>
      <c r="D80" s="308">
        <f>SUM(D44,D50,D56,D62,D68,D74)</f>
        <v>98543</v>
      </c>
      <c r="E80" s="308">
        <f>SUM(E44,E50,E56,E62,E68,E74)</f>
        <v>95751</v>
      </c>
      <c r="F80" s="309">
        <f>SUM(F44,F50,F56,F68,F74)</f>
        <v>186500</v>
      </c>
      <c r="G80" s="308">
        <f>SUM(G44,G50,G56,G62,G68,G74)</f>
        <v>93749</v>
      </c>
      <c r="H80" s="308">
        <f>SUM(H44,H50,H56,H62,H68,H74)</f>
        <v>97694</v>
      </c>
      <c r="I80" s="309">
        <f>SUM(I44,I50,I56,I68,I74)</f>
        <v>183649</v>
      </c>
      <c r="J80" s="310">
        <f>SUM(J44,J50,J56,J62,J68,J74)</f>
        <v>385737</v>
      </c>
    </row>
    <row r="81" spans="2:10" ht="14.25" customHeight="1">
      <c r="B81" s="93"/>
      <c r="C81" s="204" t="s">
        <v>100</v>
      </c>
      <c r="D81" s="311">
        <f>SUM(D45,D51,D57,D63,D69,D75)</f>
        <v>2514</v>
      </c>
      <c r="E81" s="311">
        <f>SUM(E45,E51,E57,E63,E69,E75)</f>
        <v>4304</v>
      </c>
      <c r="F81" s="312">
        <f>SUM(F45,F51,F57,F63,F69,F75)</f>
        <v>6818</v>
      </c>
      <c r="G81" s="311">
        <f>SUM(G45,G51,G57,G63,G69,G75)</f>
        <v>4284</v>
      </c>
      <c r="H81" s="311">
        <f>SUM(H45,H51,H57,H63,H69,H75)</f>
        <v>4314</v>
      </c>
      <c r="I81" s="312">
        <f>SUM(I45,I51,I57,I63,I69,I75)</f>
        <v>8598</v>
      </c>
      <c r="J81" s="313">
        <f>SUM(J45,J51,J57,J63,J69,J75)</f>
        <v>15416</v>
      </c>
    </row>
    <row r="82" spans="2:10" ht="14.25" customHeight="1">
      <c r="B82" s="93"/>
      <c r="C82" s="276" t="s">
        <v>31</v>
      </c>
      <c r="D82" s="296">
        <f>SUM(D80:D81)</f>
        <v>101057</v>
      </c>
      <c r="E82" s="296">
        <f>SUM(E80:E81)</f>
        <v>100055</v>
      </c>
      <c r="F82" s="297">
        <f>SUM(D82:E82)</f>
        <v>201112</v>
      </c>
      <c r="G82" s="296">
        <f>SUM(G80:G81)</f>
        <v>98033</v>
      </c>
      <c r="H82" s="296">
        <f>SUM(H80:H81)</f>
        <v>102008</v>
      </c>
      <c r="I82" s="297">
        <f>SUM(G82:H82)</f>
        <v>200041</v>
      </c>
      <c r="J82" s="341">
        <f>SUM(F82,I82)</f>
        <v>401153</v>
      </c>
    </row>
    <row r="83" spans="2:10" ht="14.25" customHeight="1">
      <c r="B83" s="93"/>
      <c r="C83" s="273" t="s">
        <v>103</v>
      </c>
      <c r="D83" s="298">
        <f t="shared" ref="D83:J83" si="14">SUM(D47,D53,D59,D65,D71,D77)</f>
        <v>2599</v>
      </c>
      <c r="E83" s="298">
        <f t="shared" si="14"/>
        <v>2959</v>
      </c>
      <c r="F83" s="299">
        <f t="shared" si="14"/>
        <v>5558</v>
      </c>
      <c r="G83" s="298">
        <f t="shared" si="14"/>
        <v>4719</v>
      </c>
      <c r="H83" s="298">
        <f t="shared" si="14"/>
        <v>5819</v>
      </c>
      <c r="I83" s="299">
        <f t="shared" si="14"/>
        <v>10538</v>
      </c>
      <c r="J83" s="314">
        <f t="shared" si="14"/>
        <v>16096</v>
      </c>
    </row>
    <row r="84" spans="2:10" ht="14.25" customHeight="1">
      <c r="B84" s="93"/>
      <c r="C84" s="279" t="s">
        <v>16</v>
      </c>
      <c r="D84" s="280">
        <f>SUM(D80:D81,D83)</f>
        <v>103656</v>
      </c>
      <c r="E84" s="280">
        <f>SUM(E80:E81,E83)</f>
        <v>103014</v>
      </c>
      <c r="F84" s="300">
        <f>SUM(D84:E84)</f>
        <v>206670</v>
      </c>
      <c r="G84" s="280">
        <f>SUM(G80:G81,G83)</f>
        <v>102752</v>
      </c>
      <c r="H84" s="280">
        <f>SUM(H80:H81,H83)</f>
        <v>107827</v>
      </c>
      <c r="I84" s="300">
        <f>SUM(G84:H84)</f>
        <v>210579</v>
      </c>
      <c r="J84" s="342">
        <f>SUM(F84,I84)</f>
        <v>417249</v>
      </c>
    </row>
    <row r="85" spans="2:10" ht="14.25" customHeight="1" thickBot="1">
      <c r="B85" s="94"/>
      <c r="C85" s="282" t="s">
        <v>104</v>
      </c>
      <c r="D85" s="283">
        <f t="shared" ref="D85:J85" si="15">D82/D84</f>
        <v>0.9749266805587713</v>
      </c>
      <c r="E85" s="283">
        <f t="shared" si="15"/>
        <v>0.97127574892733026</v>
      </c>
      <c r="F85" s="284">
        <f t="shared" si="15"/>
        <v>0.97310688537281653</v>
      </c>
      <c r="G85" s="283">
        <f t="shared" si="15"/>
        <v>0.95407388663967607</v>
      </c>
      <c r="H85" s="283">
        <f t="shared" si="15"/>
        <v>0.94603392471273429</v>
      </c>
      <c r="I85" s="284">
        <f t="shared" si="15"/>
        <v>0.94995702325493048</v>
      </c>
      <c r="J85" s="285">
        <f t="shared" si="15"/>
        <v>0.96142351449614016</v>
      </c>
    </row>
    <row r="86" spans="2:10" ht="15" customHeight="1" thickBot="1"/>
    <row r="87" spans="2:10" ht="12.75" customHeight="1">
      <c r="B87" s="90" t="s">
        <v>107</v>
      </c>
      <c r="C87" s="91" t="s">
        <v>98</v>
      </c>
      <c r="D87" s="92">
        <f>SUM(D44,D50,D56,D68,D74)</f>
        <v>94646</v>
      </c>
      <c r="E87" s="92">
        <f>SUM(E44,E50,E56,E68,E74)</f>
        <v>91854</v>
      </c>
      <c r="F87" s="95">
        <f>SUM(D87:E87)</f>
        <v>186500</v>
      </c>
      <c r="G87" s="92">
        <f>SUM(G44,G50,G56,G68,G74)</f>
        <v>89852</v>
      </c>
      <c r="H87" s="92">
        <f>SUM(H44,H50,H56,H68,H74)</f>
        <v>93797</v>
      </c>
      <c r="I87" s="274">
        <f>SUM(I44,I50,I56,I68,I74)</f>
        <v>183649</v>
      </c>
      <c r="J87" s="97">
        <f>SUM(J44,J50,J56,J68,J74)</f>
        <v>370149</v>
      </c>
    </row>
    <row r="88" spans="2:10" ht="12.75" customHeight="1">
      <c r="B88" s="93"/>
      <c r="C88" s="204" t="s">
        <v>100</v>
      </c>
      <c r="D88" s="205">
        <f>SUM(D45,D51,D57,D69,D75)</f>
        <v>2514</v>
      </c>
      <c r="E88" s="205">
        <f>SUM(E45,E51,E57,E69,E75)</f>
        <v>4304</v>
      </c>
      <c r="F88" s="208">
        <f>SUM(D88:E88)</f>
        <v>6818</v>
      </c>
      <c r="G88" s="205">
        <f>SUM(G45,G51,G57,G69,G75)</f>
        <v>4284</v>
      </c>
      <c r="H88" s="205">
        <f>SUM(H45,H51,H57,H69,H75)</f>
        <v>4314</v>
      </c>
      <c r="I88" s="208">
        <f>SUM(G88:H88)</f>
        <v>8598</v>
      </c>
      <c r="J88" s="209">
        <f>SUM(J45,J51,J57,J69,J75)</f>
        <v>15416</v>
      </c>
    </row>
    <row r="89" spans="2:10" ht="12.75" customHeight="1">
      <c r="B89" s="93"/>
      <c r="C89" s="276" t="s">
        <v>31</v>
      </c>
      <c r="D89" s="277">
        <f>SUM(D87:D88)</f>
        <v>97160</v>
      </c>
      <c r="E89" s="277">
        <f>SUM(E87:E88)</f>
        <v>96158</v>
      </c>
      <c r="F89" s="278">
        <f>SUM(D89:E89)</f>
        <v>193318</v>
      </c>
      <c r="G89" s="277">
        <f>SUM(G87:G88)</f>
        <v>94136</v>
      </c>
      <c r="H89" s="277">
        <f>SUM(H87:H88)</f>
        <v>98111</v>
      </c>
      <c r="I89" s="278">
        <f>SUM(G89:H89)</f>
        <v>192247</v>
      </c>
      <c r="J89" s="343">
        <f>SUM(F89,I89)</f>
        <v>385565</v>
      </c>
    </row>
    <row r="90" spans="2:10" ht="12.75" customHeight="1">
      <c r="B90" s="93"/>
      <c r="C90" s="346" t="s">
        <v>103</v>
      </c>
      <c r="D90" s="347">
        <f>SUM(D47,D53,D59,D71,D77)</f>
        <v>2496</v>
      </c>
      <c r="E90" s="347">
        <f>SUM(E47,E53,E59,E71,E77)</f>
        <v>2856</v>
      </c>
      <c r="F90" s="348">
        <f>SUM(D90:E90)</f>
        <v>5352</v>
      </c>
      <c r="G90" s="347">
        <f>SUM(G47,G53,G59,G71,G77)</f>
        <v>4616</v>
      </c>
      <c r="H90" s="347">
        <f>SUM(H47,H53,H59,H71,H77)</f>
        <v>5716</v>
      </c>
      <c r="I90" s="348">
        <f>SUM(G90:H90)</f>
        <v>10332</v>
      </c>
      <c r="J90" s="349">
        <f>SUM(J47,J53,J59,J71,J77)</f>
        <v>15684</v>
      </c>
    </row>
    <row r="91" spans="2:10" ht="12.75" customHeight="1">
      <c r="B91" s="93"/>
      <c r="C91" s="286" t="s">
        <v>16</v>
      </c>
      <c r="D91" s="287">
        <f>SUM(D87:D88,D90)</f>
        <v>99656</v>
      </c>
      <c r="E91" s="287">
        <f>SUM(E87:E88,E90)</f>
        <v>99014</v>
      </c>
      <c r="F91" s="350">
        <f>SUM(D91:E91)</f>
        <v>198670</v>
      </c>
      <c r="G91" s="287">
        <f>SUM(G87:G88,G90)</f>
        <v>98752</v>
      </c>
      <c r="H91" s="287">
        <f>SUM(H87:H88,H90)</f>
        <v>103827</v>
      </c>
      <c r="I91" s="350">
        <f>SUM(G91:H91)</f>
        <v>202579</v>
      </c>
      <c r="J91" s="351">
        <f>SUM(F91,I91)</f>
        <v>401249</v>
      </c>
    </row>
    <row r="92" spans="2:10" ht="12.75" customHeight="1" thickBot="1">
      <c r="B92" s="94"/>
      <c r="C92" s="288" t="s">
        <v>104</v>
      </c>
      <c r="D92" s="289">
        <f t="shared" ref="D92:J92" si="16">D89/D91</f>
        <v>0.97495384121377537</v>
      </c>
      <c r="E92" s="289">
        <f t="shared" si="16"/>
        <v>0.9711555941584018</v>
      </c>
      <c r="F92" s="290">
        <f t="shared" si="16"/>
        <v>0.97306085468364623</v>
      </c>
      <c r="G92" s="289">
        <f t="shared" si="16"/>
        <v>0.95325664290343481</v>
      </c>
      <c r="H92" s="289">
        <f t="shared" si="16"/>
        <v>0.94494688279541927</v>
      </c>
      <c r="I92" s="290">
        <f t="shared" si="16"/>
        <v>0.94899767498111842</v>
      </c>
      <c r="J92" s="291">
        <f t="shared" si="16"/>
        <v>0.96091205211726383</v>
      </c>
    </row>
    <row r="93" spans="2:10" ht="12.75" customHeight="1">
      <c r="B93" s="90" t="s">
        <v>108</v>
      </c>
      <c r="C93" s="91" t="s">
        <v>98</v>
      </c>
      <c r="D93" s="92">
        <f>D62</f>
        <v>3897</v>
      </c>
      <c r="E93" s="92">
        <f>E62</f>
        <v>3897</v>
      </c>
      <c r="F93" s="95">
        <f>SUM(D93:E93)</f>
        <v>7794</v>
      </c>
      <c r="G93" s="92">
        <f>G62</f>
        <v>3897</v>
      </c>
      <c r="H93" s="92">
        <f>H62</f>
        <v>3897</v>
      </c>
      <c r="I93" s="95">
        <f>SUM(G93:H93)</f>
        <v>7794</v>
      </c>
      <c r="J93" s="210">
        <f>SUM(F93,I93)</f>
        <v>15588</v>
      </c>
    </row>
    <row r="94" spans="2:10" ht="12.75" customHeight="1">
      <c r="B94" s="93"/>
      <c r="C94" s="204" t="s">
        <v>100</v>
      </c>
      <c r="D94" s="205">
        <f>D63</f>
        <v>0</v>
      </c>
      <c r="E94" s="205">
        <f>E63</f>
        <v>0</v>
      </c>
      <c r="F94" s="207">
        <f>SUM(D94:E94)</f>
        <v>0</v>
      </c>
      <c r="G94" s="205">
        <f>G63</f>
        <v>0</v>
      </c>
      <c r="H94" s="205">
        <f>H63</f>
        <v>0</v>
      </c>
      <c r="I94" s="207">
        <f>SUM(G94:H94)</f>
        <v>0</v>
      </c>
      <c r="J94" s="211">
        <f>SUM(F94,I94)</f>
        <v>0</v>
      </c>
    </row>
    <row r="95" spans="2:10" ht="12.75" customHeight="1">
      <c r="B95" s="93"/>
      <c r="C95" s="276" t="s">
        <v>31</v>
      </c>
      <c r="D95" s="277">
        <f>SUM(D93:D94)</f>
        <v>3897</v>
      </c>
      <c r="E95" s="277">
        <f>SUM(E93:E94)</f>
        <v>3897</v>
      </c>
      <c r="F95" s="278">
        <f>SUM(D95:E95)</f>
        <v>7794</v>
      </c>
      <c r="G95" s="277">
        <f>SUM(G93:G94)</f>
        <v>3897</v>
      </c>
      <c r="H95" s="277">
        <f>SUM(H93:H94)</f>
        <v>3897</v>
      </c>
      <c r="I95" s="278">
        <f>SUM(G95:H95)</f>
        <v>7794</v>
      </c>
      <c r="J95" s="343">
        <f>SUM(F95,I95)</f>
        <v>15588</v>
      </c>
    </row>
    <row r="96" spans="2:10" ht="12.75" customHeight="1">
      <c r="B96" s="93"/>
      <c r="C96" s="89" t="s">
        <v>103</v>
      </c>
      <c r="D96" s="87">
        <f>D65</f>
        <v>103</v>
      </c>
      <c r="E96" s="87">
        <f>E65</f>
        <v>103</v>
      </c>
      <c r="F96" s="96">
        <f>SUM(D96:E96)</f>
        <v>206</v>
      </c>
      <c r="G96" s="87">
        <f>G65</f>
        <v>103</v>
      </c>
      <c r="H96" s="87">
        <f>H65</f>
        <v>103</v>
      </c>
      <c r="I96" s="96">
        <f>SUM(G96:H96)</f>
        <v>206</v>
      </c>
      <c r="J96" s="98">
        <f>SUM(F96,I96)</f>
        <v>412</v>
      </c>
    </row>
    <row r="97" spans="2:10" ht="12.75" customHeight="1">
      <c r="B97" s="93"/>
      <c r="C97" s="279" t="s">
        <v>16</v>
      </c>
      <c r="D97" s="280">
        <f>SUM(D93:D94,D96)</f>
        <v>4000</v>
      </c>
      <c r="E97" s="280">
        <f>SUM(E93:E94,E96)</f>
        <v>4000</v>
      </c>
      <c r="F97" s="281">
        <f>SUM(D97:E97)</f>
        <v>8000</v>
      </c>
      <c r="G97" s="280">
        <f>SUM(G93:G94,G96)</f>
        <v>4000</v>
      </c>
      <c r="H97" s="280">
        <f>SUM(H93:H94,H96)</f>
        <v>4000</v>
      </c>
      <c r="I97" s="281">
        <f>SUM(G97:H97)</f>
        <v>8000</v>
      </c>
      <c r="J97" s="344">
        <f>SUM(F97,I97)</f>
        <v>16000</v>
      </c>
    </row>
    <row r="98" spans="2:10" ht="12.75" customHeight="1" thickBot="1">
      <c r="B98" s="94"/>
      <c r="C98" s="282" t="s">
        <v>104</v>
      </c>
      <c r="D98" s="283">
        <f t="shared" ref="D98:J98" si="17">D95/D97</f>
        <v>0.97424999999999995</v>
      </c>
      <c r="E98" s="283">
        <f t="shared" si="17"/>
        <v>0.97424999999999995</v>
      </c>
      <c r="F98" s="284">
        <f t="shared" si="17"/>
        <v>0.97424999999999995</v>
      </c>
      <c r="G98" s="283">
        <f t="shared" si="17"/>
        <v>0.97424999999999995</v>
      </c>
      <c r="H98" s="283">
        <f t="shared" si="17"/>
        <v>0.97424999999999995</v>
      </c>
      <c r="I98" s="284">
        <f t="shared" si="17"/>
        <v>0.97424999999999995</v>
      </c>
      <c r="J98" s="285">
        <f t="shared" si="17"/>
        <v>0.97424999999999995</v>
      </c>
    </row>
  </sheetData>
  <mergeCells count="6">
    <mergeCell ref="B39:C39"/>
    <mergeCell ref="AJ2:AL2"/>
    <mergeCell ref="B37:C37"/>
    <mergeCell ref="AF2:AG2"/>
    <mergeCell ref="B36:C36"/>
    <mergeCell ref="B35:C35"/>
  </mergeCells>
  <phoneticPr fontId="2"/>
  <pageMargins left="0.23622047244094491" right="0.23622047244094491" top="0.74803149606299213" bottom="0.74803149606299213" header="0.31496062992125978" footer="0.31496062992125978"/>
  <pageSetup paperSize="8" scale="90" fitToHeight="2" orientation="landscape"/>
  <rowBreaks count="1" manualBreakCount="1">
    <brk id="42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2"/>
  <sheetViews>
    <sheetView topLeftCell="A27" zoomScaleNormal="100" workbookViewId="0">
      <selection activeCell="I38" sqref="I38"/>
    </sheetView>
  </sheetViews>
  <sheetFormatPr defaultRowHeight="18.75"/>
  <cols>
    <col min="1" max="1" width="27.75" bestFit="1" customWidth="1"/>
    <col min="13" max="13" width="8.75" bestFit="1" customWidth="1"/>
    <col min="14" max="14" width="8.75" customWidth="1"/>
    <col min="17" max="17" width="9.75" bestFit="1" customWidth="1"/>
    <col min="18" max="18" width="9" bestFit="1" customWidth="1"/>
  </cols>
  <sheetData>
    <row r="1" spans="1:18">
      <c r="A1" s="100" t="s">
        <v>58</v>
      </c>
      <c r="B1" s="101" t="s">
        <v>96</v>
      </c>
      <c r="C1" s="101" t="s">
        <v>11</v>
      </c>
      <c r="D1" s="101" t="s">
        <v>12</v>
      </c>
      <c r="E1" s="101" t="s">
        <v>59</v>
      </c>
      <c r="F1" s="101" t="s">
        <v>14</v>
      </c>
      <c r="G1" s="101" t="s">
        <v>15</v>
      </c>
      <c r="H1" s="101" t="s">
        <v>59</v>
      </c>
      <c r="I1" s="101" t="s">
        <v>16</v>
      </c>
      <c r="J1" s="316"/>
      <c r="K1" s="316"/>
      <c r="L1" s="316"/>
      <c r="O1" s="316"/>
      <c r="P1" s="316"/>
    </row>
    <row r="2" spans="1:18">
      <c r="A2" s="102" t="s">
        <v>74</v>
      </c>
      <c r="B2" s="103" t="s">
        <v>98</v>
      </c>
      <c r="C2" s="104">
        <f>ROUNDDOWN('サマリー（入力禁止）'!D44,-2)</f>
        <v>33200</v>
      </c>
      <c r="D2" s="104">
        <f>ROUNDDOWN('サマリー（入力禁止）'!E44,-2)</f>
        <v>32700</v>
      </c>
      <c r="E2" s="105">
        <f t="shared" ref="E2:E19" si="0">SUM(C2:D2)</f>
        <v>65900</v>
      </c>
      <c r="F2" s="104">
        <f>ROUNDDOWN('サマリー（入力禁止）'!G44,-2)</f>
        <v>31500</v>
      </c>
      <c r="G2" s="104">
        <f>ROUNDDOWN('サマリー（入力禁止）'!H44,-2)</f>
        <v>33100</v>
      </c>
      <c r="H2" s="105">
        <f t="shared" ref="H2:H19" si="1">SUM(F2:G2)</f>
        <v>64600</v>
      </c>
      <c r="I2" s="105">
        <f>SUM(H2,E2)</f>
        <v>130500</v>
      </c>
      <c r="J2" s="317"/>
      <c r="K2" s="317"/>
      <c r="L2" s="317"/>
      <c r="O2" s="315"/>
      <c r="P2" s="315"/>
    </row>
    <row r="3" spans="1:18">
      <c r="A3" s="102"/>
      <c r="B3" s="212" t="s">
        <v>100</v>
      </c>
      <c r="C3" s="205">
        <f>ROUNDDOWN('サマリー（入力禁止）'!D45,-2)</f>
        <v>0</v>
      </c>
      <c r="D3" s="205">
        <f>ROUNDDOWN('サマリー（入力禁止）'!E45,-2)</f>
        <v>400</v>
      </c>
      <c r="E3" s="214">
        <f t="shared" si="0"/>
        <v>400</v>
      </c>
      <c r="F3" s="205">
        <f>ROUNDDOWN('サマリー（入力禁止）'!G45,-2)</f>
        <v>400</v>
      </c>
      <c r="G3" s="205">
        <f>ROUNDDOWN('サマリー（入力禁止）'!H45,-2)</f>
        <v>400</v>
      </c>
      <c r="H3" s="214">
        <f t="shared" si="1"/>
        <v>800</v>
      </c>
      <c r="I3" s="214">
        <f>SUM(E3,H3)</f>
        <v>1200</v>
      </c>
      <c r="J3" s="318"/>
      <c r="K3" s="318"/>
      <c r="L3" s="318"/>
    </row>
    <row r="4" spans="1:18">
      <c r="A4" s="106" t="s">
        <v>109</v>
      </c>
      <c r="B4" s="190" t="s">
        <v>103</v>
      </c>
      <c r="C4" s="191">
        <f>ROUNDDOWN('サマリー（入力禁止）'!D47,-2)</f>
        <v>100</v>
      </c>
      <c r="D4" s="191">
        <f>ROUNDDOWN('サマリー（入力禁止）'!E47,-2)</f>
        <v>100</v>
      </c>
      <c r="E4" s="192">
        <f t="shared" si="0"/>
        <v>200</v>
      </c>
      <c r="F4" s="191">
        <f>ROUNDDOWN('サマリー（入力禁止）'!G47,-2)</f>
        <v>1300</v>
      </c>
      <c r="G4" s="191">
        <f>ROUNDDOWN('サマリー（入力禁止）'!H47,-2)</f>
        <v>1400</v>
      </c>
      <c r="H4" s="192">
        <f t="shared" si="1"/>
        <v>2700</v>
      </c>
      <c r="I4" s="192">
        <f>SUM(H4,E4)</f>
        <v>2900</v>
      </c>
      <c r="J4" s="317"/>
      <c r="K4" s="317"/>
      <c r="L4" s="317"/>
    </row>
    <row r="5" spans="1:18">
      <c r="A5" s="102" t="s">
        <v>110</v>
      </c>
      <c r="B5" s="103" t="s">
        <v>98</v>
      </c>
      <c r="C5" s="104">
        <f>ROUNDDOWN('サマリー（入力禁止）'!D50,-2)</f>
        <v>3900</v>
      </c>
      <c r="D5" s="104">
        <f>ROUNDDOWN('サマリー（入力禁止）'!E50,-2)</f>
        <v>4000</v>
      </c>
      <c r="E5" s="105">
        <f t="shared" si="0"/>
        <v>7900</v>
      </c>
      <c r="F5" s="104">
        <f>ROUNDDOWN('サマリー（入力禁止）'!G50,-2)</f>
        <v>3600</v>
      </c>
      <c r="G5" s="104">
        <f>ROUNDDOWN('サマリー（入力禁止）'!H50,-2)</f>
        <v>3600</v>
      </c>
      <c r="H5" s="105">
        <f t="shared" si="1"/>
        <v>7200</v>
      </c>
      <c r="I5" s="105">
        <f>SUM(H5,E5)</f>
        <v>15100</v>
      </c>
      <c r="J5" s="317"/>
      <c r="K5" s="317"/>
      <c r="L5" s="317"/>
    </row>
    <row r="6" spans="1:18">
      <c r="A6" s="102"/>
      <c r="B6" s="212" t="s">
        <v>100</v>
      </c>
      <c r="C6" s="205">
        <f>ROUNDDOWN('サマリー（入力禁止）'!D51,-2)</f>
        <v>1800</v>
      </c>
      <c r="D6" s="205">
        <f>ROUNDDOWN('サマリー（入力禁止）'!E51,-2)</f>
        <v>2700</v>
      </c>
      <c r="E6" s="214">
        <f t="shared" si="0"/>
        <v>4500</v>
      </c>
      <c r="F6" s="205">
        <f>ROUNDDOWN('サマリー（入力禁止）'!G51,-2)</f>
        <v>2700</v>
      </c>
      <c r="G6" s="205">
        <f>ROUNDDOWN('サマリー（入力禁止）'!H51,-2)</f>
        <v>2700</v>
      </c>
      <c r="H6" s="214">
        <f t="shared" si="1"/>
        <v>5400</v>
      </c>
      <c r="I6" s="214">
        <f>SUM(E6,H6)</f>
        <v>9900</v>
      </c>
      <c r="J6" s="318"/>
      <c r="K6" s="318"/>
      <c r="L6" s="318"/>
    </row>
    <row r="7" spans="1:18">
      <c r="A7" s="102" t="s">
        <v>109</v>
      </c>
      <c r="B7" s="190" t="s">
        <v>103</v>
      </c>
      <c r="C7" s="191">
        <f>ROUNDDOWN('サマリー（入力禁止）'!D53,-2)</f>
        <v>700</v>
      </c>
      <c r="D7" s="191">
        <f>ROUNDDOWN('サマリー（入力禁止）'!E53,-2)</f>
        <v>800</v>
      </c>
      <c r="E7" s="192">
        <f t="shared" si="0"/>
        <v>1500</v>
      </c>
      <c r="F7" s="191">
        <f>ROUNDDOWN('サマリー（入力禁止）'!G53,-2)</f>
        <v>800</v>
      </c>
      <c r="G7" s="191">
        <f>ROUNDDOWN('サマリー（入力禁止）'!H53,-2)</f>
        <v>800</v>
      </c>
      <c r="H7" s="192">
        <f t="shared" si="1"/>
        <v>1600</v>
      </c>
      <c r="I7" s="192">
        <f>SUM(H7,E7)</f>
        <v>3100</v>
      </c>
      <c r="J7" s="317"/>
      <c r="K7" s="317"/>
      <c r="L7" s="317"/>
    </row>
    <row r="8" spans="1:18">
      <c r="A8" s="188" t="s">
        <v>82</v>
      </c>
      <c r="B8" s="177" t="s">
        <v>98</v>
      </c>
      <c r="C8" s="178">
        <f>ROUNDDOWN('サマリー（入力禁止）'!D56,-2)</f>
        <v>20400</v>
      </c>
      <c r="D8" s="178">
        <f>ROUNDDOWN('サマリー（入力禁止）'!E56,-2)</f>
        <v>20400</v>
      </c>
      <c r="E8" s="179">
        <f t="shared" si="0"/>
        <v>40800</v>
      </c>
      <c r="F8" s="178">
        <f>ROUNDDOWN('サマリー（入力禁止）'!G56,-2)</f>
        <v>20400</v>
      </c>
      <c r="G8" s="178">
        <f>ROUNDDOWN('サマリー（入力禁止）'!H56,-2)</f>
        <v>20400</v>
      </c>
      <c r="H8" s="179">
        <f t="shared" si="1"/>
        <v>40800</v>
      </c>
      <c r="I8" s="179">
        <f>SUM(H8,E8)</f>
        <v>81600</v>
      </c>
      <c r="J8" s="317"/>
      <c r="K8" s="317"/>
      <c r="L8" s="317"/>
    </row>
    <row r="9" spans="1:18">
      <c r="A9" s="102"/>
      <c r="B9" s="212" t="s">
        <v>100</v>
      </c>
      <c r="C9" s="205">
        <f>ROUNDDOWN('サマリー（入力禁止）'!D57,-2)</f>
        <v>0</v>
      </c>
      <c r="D9" s="205">
        <f>ROUNDDOWN('サマリー（入力禁止）'!E57,-2)</f>
        <v>0</v>
      </c>
      <c r="E9" s="214">
        <f t="shared" si="0"/>
        <v>0</v>
      </c>
      <c r="F9" s="205">
        <f>ROUNDDOWN('サマリー（入力禁止）'!G57,-2)</f>
        <v>0</v>
      </c>
      <c r="G9" s="205">
        <f>ROUNDDOWN('サマリー（入力禁止）'!H57,-2)</f>
        <v>0</v>
      </c>
      <c r="H9" s="214">
        <f t="shared" si="1"/>
        <v>0</v>
      </c>
      <c r="I9" s="214">
        <f>SUM(E9,H9)</f>
        <v>0</v>
      </c>
      <c r="J9" s="318"/>
      <c r="K9" s="318"/>
      <c r="L9" s="318"/>
    </row>
    <row r="10" spans="1:18">
      <c r="A10" s="106" t="s">
        <v>109</v>
      </c>
      <c r="B10" s="190" t="s">
        <v>111</v>
      </c>
      <c r="C10" s="191">
        <f>ROUNDDOWN('サマリー（入力禁止）'!D59,-2)</f>
        <v>1100</v>
      </c>
      <c r="D10" s="191">
        <f>ROUNDDOWN('サマリー（入力禁止）'!E59,-2)</f>
        <v>1100</v>
      </c>
      <c r="E10" s="192">
        <f t="shared" si="0"/>
        <v>2200</v>
      </c>
      <c r="F10" s="191">
        <f>ROUNDDOWN('サマリー（入力禁止）'!G59,-2)</f>
        <v>1100</v>
      </c>
      <c r="G10" s="191">
        <f>ROUNDDOWN('サマリー（入力禁止）'!H59,-2)</f>
        <v>1100</v>
      </c>
      <c r="H10" s="192">
        <f t="shared" si="1"/>
        <v>2200</v>
      </c>
      <c r="I10" s="192">
        <f>SUM(H10,E10)</f>
        <v>4400</v>
      </c>
      <c r="J10" s="317"/>
      <c r="K10" s="317"/>
      <c r="L10" s="317"/>
    </row>
    <row r="11" spans="1:18" ht="15.75" customHeight="1">
      <c r="A11" s="188" t="s">
        <v>105</v>
      </c>
      <c r="B11" s="189" t="s">
        <v>98</v>
      </c>
      <c r="C11" s="178">
        <f>ROUNDDOWN('サマリー（入力禁止）'!D62,-2)</f>
        <v>3800</v>
      </c>
      <c r="D11" s="178">
        <f>ROUNDDOWN('サマリー（入力禁止）'!E62,-2)</f>
        <v>3800</v>
      </c>
      <c r="E11" s="179">
        <f t="shared" si="0"/>
        <v>7600</v>
      </c>
      <c r="F11" s="178">
        <f>ROUNDDOWN('サマリー（入力禁止）'!G62,-2)</f>
        <v>3800</v>
      </c>
      <c r="G11" s="178">
        <f>ROUNDDOWN('サマリー（入力禁止）'!H62,-2)</f>
        <v>3800</v>
      </c>
      <c r="H11" s="179">
        <f t="shared" si="1"/>
        <v>7600</v>
      </c>
      <c r="I11" s="179">
        <f>SUM(H11,E11)</f>
        <v>15200</v>
      </c>
      <c r="J11" s="317"/>
      <c r="K11" s="317"/>
      <c r="L11" s="317"/>
    </row>
    <row r="12" spans="1:18" ht="15.75" customHeight="1">
      <c r="A12" s="102"/>
      <c r="B12" s="212" t="s">
        <v>100</v>
      </c>
      <c r="C12" s="205">
        <f>ROUNDDOWN('サマリー（入力禁止）'!D63,-2)</f>
        <v>0</v>
      </c>
      <c r="D12" s="205">
        <f>ROUNDDOWN('サマリー（入力禁止）'!E63,-2)</f>
        <v>0</v>
      </c>
      <c r="E12" s="214">
        <f t="shared" si="0"/>
        <v>0</v>
      </c>
      <c r="F12" s="205">
        <f>ROUNDDOWN('サマリー（入力禁止）'!G63,-2)</f>
        <v>0</v>
      </c>
      <c r="G12" s="205">
        <f>ROUNDDOWN('サマリー（入力禁止）'!H63,-2)</f>
        <v>0</v>
      </c>
      <c r="H12" s="214">
        <f t="shared" si="1"/>
        <v>0</v>
      </c>
      <c r="I12" s="214">
        <f>SUM(E12,H12)</f>
        <v>0</v>
      </c>
      <c r="J12" s="318"/>
      <c r="K12" s="318"/>
      <c r="L12" s="318"/>
    </row>
    <row r="13" spans="1:18">
      <c r="A13" s="106" t="s">
        <v>109</v>
      </c>
      <c r="B13" s="190" t="s">
        <v>111</v>
      </c>
      <c r="C13" s="213">
        <f>ROUNDDOWN('サマリー（入力禁止）'!D65,-2)</f>
        <v>100</v>
      </c>
      <c r="D13" s="213">
        <f>ROUNDDOWN('サマリー（入力禁止）'!E65,-2)</f>
        <v>100</v>
      </c>
      <c r="E13" s="192">
        <f t="shared" si="0"/>
        <v>200</v>
      </c>
      <c r="F13" s="213">
        <f>ROUNDDOWN('サマリー（入力禁止）'!G65,-2)</f>
        <v>100</v>
      </c>
      <c r="G13" s="213">
        <f>ROUNDDOWN('サマリー（入力禁止）'!H65,-2)</f>
        <v>100</v>
      </c>
      <c r="H13" s="192">
        <f t="shared" si="1"/>
        <v>200</v>
      </c>
      <c r="I13" s="192">
        <f>SUM(H13,E13)</f>
        <v>400</v>
      </c>
      <c r="J13" s="317"/>
      <c r="K13" s="317"/>
      <c r="L13" s="317"/>
      <c r="Q13" s="180"/>
      <c r="R13" s="181"/>
    </row>
    <row r="14" spans="1:18">
      <c r="A14" s="188" t="s">
        <v>88</v>
      </c>
      <c r="B14" s="189" t="s">
        <v>98</v>
      </c>
      <c r="C14" s="178">
        <f>ROUNDDOWN('サマリー（入力禁止）'!D68,-2)</f>
        <v>19300</v>
      </c>
      <c r="D14" s="178">
        <f>ROUNDDOWN('サマリー（入力禁止）'!E68,-2)</f>
        <v>17000</v>
      </c>
      <c r="E14" s="179">
        <f t="shared" si="0"/>
        <v>36300</v>
      </c>
      <c r="F14" s="178">
        <f>ROUNDDOWN('サマリー（入力禁止）'!G68,-2)</f>
        <v>16500</v>
      </c>
      <c r="G14" s="178">
        <f>ROUNDDOWN('サマリー（入力禁止）'!H68,-2)</f>
        <v>18900</v>
      </c>
      <c r="H14" s="179">
        <f t="shared" si="1"/>
        <v>35400</v>
      </c>
      <c r="I14" s="179">
        <f>SUM(H14,E14)</f>
        <v>71700</v>
      </c>
      <c r="J14" s="317"/>
      <c r="K14" s="317"/>
      <c r="L14" s="317"/>
      <c r="Q14" s="180"/>
      <c r="R14" s="180"/>
    </row>
    <row r="15" spans="1:18">
      <c r="A15" s="102"/>
      <c r="B15" s="212" t="s">
        <v>100</v>
      </c>
      <c r="C15" s="205">
        <f>ROUNDDOWN('サマリー（入力禁止）'!D69,-2)</f>
        <v>700</v>
      </c>
      <c r="D15" s="205">
        <f>ROUNDDOWN('サマリー（入力禁止）'!E69,-2)</f>
        <v>700</v>
      </c>
      <c r="E15" s="214">
        <f t="shared" si="0"/>
        <v>1400</v>
      </c>
      <c r="F15" s="205">
        <f>ROUNDDOWN('サマリー（入力禁止）'!G69,-2)</f>
        <v>700</v>
      </c>
      <c r="G15" s="205">
        <f>ROUNDDOWN('サマリー（入力禁止）'!H69,-2)</f>
        <v>700</v>
      </c>
      <c r="H15" s="214">
        <f t="shared" si="1"/>
        <v>1400</v>
      </c>
      <c r="I15" s="214">
        <f>SUM(E15,H15)</f>
        <v>2800</v>
      </c>
      <c r="J15" s="318"/>
      <c r="K15" s="318"/>
      <c r="L15" s="318"/>
      <c r="Q15" s="180"/>
      <c r="R15" s="180"/>
    </row>
    <row r="16" spans="1:18">
      <c r="A16" s="106" t="s">
        <v>109</v>
      </c>
      <c r="B16" s="190" t="s">
        <v>111</v>
      </c>
      <c r="C16" s="191">
        <f>ROUNDDOWN('サマリー（入力禁止）'!D71,-2)</f>
        <v>400</v>
      </c>
      <c r="D16" s="191">
        <f>ROUNDDOWN('サマリー（入力禁止）'!E71,-2)</f>
        <v>400</v>
      </c>
      <c r="E16" s="192">
        <f t="shared" si="0"/>
        <v>800</v>
      </c>
      <c r="F16" s="191">
        <f>ROUNDDOWN('サマリー（入力禁止）'!G71,-2)</f>
        <v>1000</v>
      </c>
      <c r="G16" s="191">
        <f>ROUNDDOWN('サマリー（入力禁止）'!H71,-2)</f>
        <v>900</v>
      </c>
      <c r="H16" s="192">
        <f t="shared" si="1"/>
        <v>1900</v>
      </c>
      <c r="I16" s="192">
        <f>SUM(H16,E16)</f>
        <v>2700</v>
      </c>
      <c r="J16" s="317"/>
      <c r="K16" s="317"/>
      <c r="L16" s="317"/>
      <c r="Q16" s="180"/>
      <c r="R16" s="180"/>
    </row>
    <row r="17" spans="1:21">
      <c r="A17" s="188" t="s">
        <v>2</v>
      </c>
      <c r="B17" s="189" t="s">
        <v>98</v>
      </c>
      <c r="C17" s="178">
        <f>ROUNDDOWN('サマリー（入力禁止）'!D74,-2)</f>
        <v>17600</v>
      </c>
      <c r="D17" s="178">
        <f>ROUNDDOWN('サマリー（入力禁止）'!E74,-2)</f>
        <v>17600</v>
      </c>
      <c r="E17" s="179">
        <f t="shared" si="0"/>
        <v>35200</v>
      </c>
      <c r="F17" s="178">
        <f>ROUNDDOWN('サマリー（入力禁止）'!G74,-2)</f>
        <v>17600</v>
      </c>
      <c r="G17" s="178">
        <f>ROUNDDOWN('サマリー（入力禁止）'!H74,-2)</f>
        <v>17600</v>
      </c>
      <c r="H17" s="179">
        <f t="shared" si="1"/>
        <v>35200</v>
      </c>
      <c r="I17" s="179">
        <f>SUM(H17,E17)</f>
        <v>70400</v>
      </c>
      <c r="J17" s="317"/>
      <c r="K17" s="317"/>
      <c r="L17" s="317"/>
      <c r="Q17" s="180"/>
      <c r="R17" s="180"/>
    </row>
    <row r="18" spans="1:21">
      <c r="A18" s="102"/>
      <c r="B18" s="212" t="s">
        <v>100</v>
      </c>
      <c r="C18" s="205">
        <f>ROUNDDOWN('サマリー（入力禁止）'!D75,-2)</f>
        <v>0</v>
      </c>
      <c r="D18" s="205">
        <f>ROUNDDOWN('サマリー（入力禁止）'!E75,-2)</f>
        <v>400</v>
      </c>
      <c r="E18" s="214">
        <f t="shared" si="0"/>
        <v>400</v>
      </c>
      <c r="F18" s="205">
        <f>ROUNDDOWN('サマリー（入力禁止）'!G75,-2)</f>
        <v>400</v>
      </c>
      <c r="G18" s="205">
        <f>ROUNDDOWN('サマリー（入力禁止）'!H75,-2)</f>
        <v>400</v>
      </c>
      <c r="H18" s="214">
        <f t="shared" si="1"/>
        <v>800</v>
      </c>
      <c r="I18" s="214">
        <f>SUM(E18,H18)</f>
        <v>1200</v>
      </c>
      <c r="J18" s="318"/>
      <c r="K18" s="318"/>
      <c r="L18" s="318"/>
      <c r="Q18" s="180"/>
      <c r="R18" s="180"/>
    </row>
    <row r="19" spans="1:21">
      <c r="A19" s="106" t="s">
        <v>109</v>
      </c>
      <c r="B19" s="190" t="s">
        <v>111</v>
      </c>
      <c r="C19" s="191">
        <f>ROUNDDOWN('サマリー（入力禁止）'!D77,-2)</f>
        <v>0</v>
      </c>
      <c r="D19" s="191">
        <f>ROUNDDOWN('サマリー（入力禁止）'!E77,-2)</f>
        <v>300</v>
      </c>
      <c r="E19" s="192">
        <f t="shared" si="0"/>
        <v>300</v>
      </c>
      <c r="F19" s="191">
        <f>ROUNDDOWN('サマリー（入力禁止）'!G77,-2)</f>
        <v>300</v>
      </c>
      <c r="G19" s="191">
        <f>ROUNDDOWN('サマリー（入力禁止）'!H77,-2)</f>
        <v>1400</v>
      </c>
      <c r="H19" s="192">
        <f t="shared" si="1"/>
        <v>1700</v>
      </c>
      <c r="I19" s="192">
        <f>SUM(H19,E19)</f>
        <v>2000</v>
      </c>
      <c r="J19" s="317"/>
      <c r="K19" s="317"/>
      <c r="L19" s="317"/>
      <c r="Q19" s="180"/>
      <c r="R19" s="180"/>
    </row>
    <row r="20" spans="1:21">
      <c r="A20" s="106" t="s">
        <v>16</v>
      </c>
      <c r="B20" s="107" t="s">
        <v>109</v>
      </c>
      <c r="C20" s="49">
        <f t="shared" ref="C20:I20" si="2">SUM(C2:C19)</f>
        <v>103100</v>
      </c>
      <c r="D20" s="49">
        <f t="shared" si="2"/>
        <v>102500</v>
      </c>
      <c r="E20" s="49">
        <f t="shared" si="2"/>
        <v>205600</v>
      </c>
      <c r="F20" s="49">
        <f t="shared" si="2"/>
        <v>102200</v>
      </c>
      <c r="G20" s="49">
        <f t="shared" si="2"/>
        <v>107300</v>
      </c>
      <c r="H20" s="49">
        <f t="shared" si="2"/>
        <v>209500</v>
      </c>
      <c r="I20" s="49">
        <f t="shared" si="2"/>
        <v>415100</v>
      </c>
      <c r="J20" s="54"/>
      <c r="K20" s="54"/>
      <c r="L20" s="54"/>
      <c r="Q20" s="180"/>
      <c r="R20" s="180"/>
    </row>
    <row r="21" spans="1:21">
      <c r="Q21" s="215"/>
      <c r="R21" s="180"/>
    </row>
    <row r="23" spans="1:21" ht="18.600000000000001" customHeight="1" thickBot="1"/>
    <row r="24" spans="1:21">
      <c r="A24" s="230" t="s">
        <v>112</v>
      </c>
      <c r="B24" s="231" t="s">
        <v>96</v>
      </c>
      <c r="C24" s="231" t="s">
        <v>11</v>
      </c>
      <c r="D24" s="231" t="s">
        <v>12</v>
      </c>
      <c r="E24" s="231" t="s">
        <v>59</v>
      </c>
      <c r="F24" s="231" t="s">
        <v>14</v>
      </c>
      <c r="G24" s="231" t="s">
        <v>15</v>
      </c>
      <c r="H24" s="231" t="s">
        <v>59</v>
      </c>
      <c r="I24" s="232" t="s">
        <v>16</v>
      </c>
      <c r="J24" s="320"/>
      <c r="L24" s="319"/>
      <c r="M24" s="326"/>
      <c r="N24" s="328"/>
      <c r="O24" s="324"/>
      <c r="P24" s="321"/>
    </row>
    <row r="25" spans="1:21">
      <c r="A25" s="233" t="s">
        <v>74</v>
      </c>
      <c r="B25" s="108"/>
      <c r="C25" s="110">
        <f>SUM(C2:C4)</f>
        <v>33300</v>
      </c>
      <c r="D25" s="110">
        <f>SUM(D2:D4)</f>
        <v>33200</v>
      </c>
      <c r="E25" s="109">
        <f>SUM(C25:D25)</f>
        <v>66500</v>
      </c>
      <c r="F25" s="110">
        <f>SUM(F2:F4)</f>
        <v>33200</v>
      </c>
      <c r="G25" s="110">
        <f>SUM(G2:G4)</f>
        <v>34900</v>
      </c>
      <c r="H25" s="109">
        <f>SUM(F25:G25)</f>
        <v>68100</v>
      </c>
      <c r="I25" s="234">
        <f>SUM(E25,H25)</f>
        <v>134600</v>
      </c>
      <c r="J25" s="194"/>
      <c r="L25" s="217"/>
      <c r="M25" s="327"/>
      <c r="N25" s="329"/>
      <c r="O25" s="325"/>
      <c r="P25" s="215"/>
      <c r="U25" s="322"/>
    </row>
    <row r="26" spans="1:21">
      <c r="A26" s="233" t="s">
        <v>79</v>
      </c>
      <c r="B26" s="108"/>
      <c r="C26" s="110">
        <f>SUM(C5:C7)</f>
        <v>6400</v>
      </c>
      <c r="D26" s="110">
        <f>SUM(D5:D7)</f>
        <v>7500</v>
      </c>
      <c r="E26" s="109">
        <f>SUM(C26:D26)</f>
        <v>13900</v>
      </c>
      <c r="F26" s="110">
        <f>SUM(F5:F7)</f>
        <v>7100</v>
      </c>
      <c r="G26" s="110">
        <f>SUM(G5:G7)</f>
        <v>7100</v>
      </c>
      <c r="H26" s="109">
        <f>SUM(F26:G26)</f>
        <v>14200</v>
      </c>
      <c r="I26" s="234">
        <f>SUM(E26,H26)</f>
        <v>28100</v>
      </c>
      <c r="J26" s="194"/>
      <c r="L26" s="217"/>
      <c r="M26" s="327"/>
      <c r="N26" s="329"/>
      <c r="O26" s="325"/>
      <c r="P26" s="215"/>
      <c r="S26" s="181"/>
      <c r="T26" s="194"/>
      <c r="U26" s="323"/>
    </row>
    <row r="27" spans="1:21">
      <c r="A27" s="233" t="s">
        <v>82</v>
      </c>
      <c r="B27" s="108"/>
      <c r="C27" s="110">
        <f>SUM(C8:C10)</f>
        <v>21500</v>
      </c>
      <c r="D27" s="110">
        <f>SUM(D8:D10)</f>
        <v>21500</v>
      </c>
      <c r="E27" s="109">
        <f>SUM(C27:D27)</f>
        <v>43000</v>
      </c>
      <c r="F27" s="110">
        <f>SUM(F8:F10)</f>
        <v>21500</v>
      </c>
      <c r="G27" s="110">
        <f>SUM(G8:G10)</f>
        <v>21500</v>
      </c>
      <c r="H27" s="109">
        <f>SUM(F27:G27)</f>
        <v>43000</v>
      </c>
      <c r="I27" s="234">
        <f>SUM(E27,H27)</f>
        <v>86000</v>
      </c>
      <c r="J27" s="194"/>
      <c r="L27" s="217"/>
      <c r="M27" s="327"/>
      <c r="N27" s="329"/>
      <c r="O27" s="325"/>
      <c r="P27" s="215"/>
      <c r="S27" s="181"/>
      <c r="T27" s="194"/>
      <c r="U27" s="323"/>
    </row>
    <row r="28" spans="1:21">
      <c r="A28" s="233" t="s">
        <v>88</v>
      </c>
      <c r="B28" s="108"/>
      <c r="C28" s="110">
        <f>SUM(C14:C16)</f>
        <v>20400</v>
      </c>
      <c r="D28" s="110">
        <f>SUM(D14:D16)</f>
        <v>18100</v>
      </c>
      <c r="E28" s="109">
        <f>SUM(C28:D28)</f>
        <v>38500</v>
      </c>
      <c r="F28" s="193">
        <f>SUM(F14:F16)</f>
        <v>18200</v>
      </c>
      <c r="G28" s="193">
        <f>SUM(G14:G16)</f>
        <v>20500</v>
      </c>
      <c r="H28" s="109">
        <f>SUM(F28:G28)</f>
        <v>38700</v>
      </c>
      <c r="I28" s="234">
        <f>SUM(E28,H28)</f>
        <v>77200</v>
      </c>
      <c r="J28" s="194"/>
      <c r="L28" s="217"/>
      <c r="M28" s="327"/>
      <c r="N28" s="329"/>
      <c r="O28" s="325"/>
      <c r="P28" s="215"/>
      <c r="S28" s="181"/>
      <c r="T28" s="194"/>
      <c r="U28" s="323"/>
    </row>
    <row r="29" spans="1:21">
      <c r="A29" s="233" t="s">
        <v>2</v>
      </c>
      <c r="B29" s="108"/>
      <c r="C29" s="110">
        <f>SUM(C17:C19)</f>
        <v>17600</v>
      </c>
      <c r="D29" s="110">
        <f>SUM(D17:D19)</f>
        <v>18300</v>
      </c>
      <c r="E29" s="109">
        <f>SUM(C29:D29)</f>
        <v>35900</v>
      </c>
      <c r="F29" s="110">
        <f>SUM(F17:F19)</f>
        <v>18300</v>
      </c>
      <c r="G29" s="110">
        <f>SUM(G17:G19)</f>
        <v>19400</v>
      </c>
      <c r="H29" s="109">
        <f>SUM(F29:G29)</f>
        <v>37700</v>
      </c>
      <c r="I29" s="234">
        <f>SUM(E29,H29)</f>
        <v>73600</v>
      </c>
      <c r="J29" s="194"/>
      <c r="L29" s="217"/>
      <c r="M29" s="327"/>
      <c r="N29" s="329"/>
      <c r="O29" s="325"/>
      <c r="P29" s="215"/>
      <c r="S29" s="181"/>
      <c r="T29" s="194"/>
      <c r="U29" s="323"/>
    </row>
    <row r="30" spans="1:21">
      <c r="A30" s="235" t="s">
        <v>31</v>
      </c>
      <c r="B30" s="108"/>
      <c r="C30" s="109">
        <f t="shared" ref="C30:I30" si="3">SUM(C25:C29)</f>
        <v>99200</v>
      </c>
      <c r="D30" s="109">
        <f t="shared" si="3"/>
        <v>98600</v>
      </c>
      <c r="E30" s="109">
        <f t="shared" si="3"/>
        <v>197800</v>
      </c>
      <c r="F30" s="109">
        <f t="shared" si="3"/>
        <v>98300</v>
      </c>
      <c r="G30" s="109">
        <f t="shared" si="3"/>
        <v>103400</v>
      </c>
      <c r="H30" s="109">
        <f t="shared" si="3"/>
        <v>201700</v>
      </c>
      <c r="I30" s="234">
        <f t="shared" si="3"/>
        <v>399500</v>
      </c>
      <c r="J30" s="194"/>
      <c r="L30" s="217"/>
      <c r="M30" s="217"/>
      <c r="N30" s="329"/>
      <c r="O30" s="325"/>
      <c r="P30" s="215"/>
      <c r="S30" s="181"/>
      <c r="T30" s="194"/>
      <c r="U30" s="323"/>
    </row>
    <row r="31" spans="1:21" ht="15" customHeight="1" thickBot="1">
      <c r="A31" s="236" t="s">
        <v>105</v>
      </c>
      <c r="B31" s="237"/>
      <c r="C31" s="345">
        <f>SUM(C11:C13)</f>
        <v>3900</v>
      </c>
      <c r="D31" s="345">
        <f>SUM(D11:D13)</f>
        <v>3900</v>
      </c>
      <c r="E31" s="238">
        <f>SUM(C31:D31)</f>
        <v>7800</v>
      </c>
      <c r="F31" s="345">
        <f>SUM(F11:F13)</f>
        <v>3900</v>
      </c>
      <c r="G31" s="345">
        <f>SUM(G11:G13)</f>
        <v>3900</v>
      </c>
      <c r="H31" s="238">
        <f>SUM(F31:G31)</f>
        <v>7800</v>
      </c>
      <c r="I31" s="239">
        <f>SUM(E31,H31)</f>
        <v>15600</v>
      </c>
      <c r="J31" s="194"/>
      <c r="K31" s="194"/>
      <c r="L31" s="217"/>
      <c r="M31" s="327"/>
      <c r="N31" s="329"/>
      <c r="O31" s="325"/>
      <c r="P31" s="215"/>
      <c r="T31" s="194"/>
      <c r="U31" s="323"/>
    </row>
    <row r="32" spans="1:21">
      <c r="H32" t="s">
        <v>16</v>
      </c>
      <c r="I32" s="194">
        <f>I30+I31</f>
        <v>415100</v>
      </c>
      <c r="J32" s="194"/>
      <c r="K32" s="194"/>
      <c r="L32" s="217"/>
      <c r="M32" s="327"/>
      <c r="N32" s="329"/>
      <c r="O32" s="323"/>
      <c r="P32" s="217"/>
    </row>
    <row r="33" spans="1:20">
      <c r="O33" s="194"/>
      <c r="P33" s="194"/>
    </row>
    <row r="34" spans="1:20">
      <c r="M34" s="194"/>
      <c r="N34" s="194"/>
    </row>
    <row r="35" spans="1:20">
      <c r="A35" s="275" t="s">
        <v>113</v>
      </c>
      <c r="O35" t="s">
        <v>114</v>
      </c>
    </row>
    <row r="36" spans="1:20">
      <c r="A36" s="245" t="s">
        <v>115</v>
      </c>
      <c r="B36" s="246"/>
      <c r="C36" s="247" t="s">
        <v>11</v>
      </c>
      <c r="D36" s="247" t="s">
        <v>12</v>
      </c>
      <c r="E36" s="259" t="s">
        <v>59</v>
      </c>
      <c r="F36" s="247" t="s">
        <v>14</v>
      </c>
      <c r="G36" s="247" t="s">
        <v>15</v>
      </c>
      <c r="H36" s="259" t="s">
        <v>59</v>
      </c>
      <c r="I36" s="265" t="s">
        <v>16</v>
      </c>
      <c r="J36" t="s">
        <v>116</v>
      </c>
      <c r="K36" s="275" t="s">
        <v>114</v>
      </c>
      <c r="L36" t="s">
        <v>13</v>
      </c>
      <c r="M36" s="275" t="s">
        <v>117</v>
      </c>
      <c r="N36" s="275" t="s">
        <v>118</v>
      </c>
      <c r="O36" s="245" t="s">
        <v>119</v>
      </c>
      <c r="P36" s="246" t="s">
        <v>120</v>
      </c>
      <c r="Q36" s="246" t="s">
        <v>121</v>
      </c>
      <c r="R36" s="330" t="s">
        <v>122</v>
      </c>
    </row>
    <row r="37" spans="1:20">
      <c r="A37" s="240" t="s">
        <v>74</v>
      </c>
      <c r="B37" s="241"/>
      <c r="C37" s="248">
        <f>第一!E35</f>
        <v>33400</v>
      </c>
      <c r="D37" s="248">
        <f>第一!F35</f>
        <v>33300</v>
      </c>
      <c r="E37" s="260">
        <f t="shared" ref="E37:E43" si="4">SUM(C37:D37)</f>
        <v>66700</v>
      </c>
      <c r="F37" s="248">
        <f>第一!H35</f>
        <v>33300</v>
      </c>
      <c r="G37" s="248">
        <f>第一!I35</f>
        <v>35000</v>
      </c>
      <c r="H37" s="260">
        <f t="shared" ref="H37:H43" si="5">SUM(F37:G37)</f>
        <v>68300</v>
      </c>
      <c r="I37" s="266">
        <f t="shared" ref="I37:I43" si="6">SUM(E37,H37)</f>
        <v>135000</v>
      </c>
      <c r="J37" s="194">
        <v>134390</v>
      </c>
      <c r="K37" s="217">
        <f>R37</f>
        <v>610</v>
      </c>
      <c r="L37" s="194">
        <f>J37+K37</f>
        <v>135000</v>
      </c>
      <c r="M37" s="275">
        <v>0</v>
      </c>
      <c r="N37" s="217">
        <f t="shared" ref="N37:N44" si="7">L37+M37</f>
        <v>135000</v>
      </c>
      <c r="O37" s="331">
        <v>240</v>
      </c>
      <c r="P37" s="181">
        <f>O37/$O$42</f>
        <v>0.39215686274509803</v>
      </c>
      <c r="Q37" s="194">
        <f>P37*$K$42</f>
        <v>827.45098039215691</v>
      </c>
      <c r="R37" s="332">
        <v>610</v>
      </c>
    </row>
    <row r="38" spans="1:20">
      <c r="A38" s="242" t="s">
        <v>79</v>
      </c>
      <c r="B38" s="243"/>
      <c r="C38" s="244">
        <f>第一開発!E35</f>
        <v>6500</v>
      </c>
      <c r="D38" s="244">
        <f>第一開発!F35</f>
        <v>7600</v>
      </c>
      <c r="E38" s="261">
        <f t="shared" si="4"/>
        <v>14100</v>
      </c>
      <c r="F38" s="244">
        <f>第一開発!H35</f>
        <v>7200</v>
      </c>
      <c r="G38" s="244">
        <f>第一開発!I35</f>
        <v>7200</v>
      </c>
      <c r="H38" s="261">
        <f t="shared" si="5"/>
        <v>14400</v>
      </c>
      <c r="I38" s="267">
        <f t="shared" si="6"/>
        <v>28500</v>
      </c>
      <c r="J38" s="194">
        <v>28140</v>
      </c>
      <c r="K38" s="217">
        <f>R38</f>
        <v>360</v>
      </c>
      <c r="L38" s="194">
        <f>J38+K38</f>
        <v>28500</v>
      </c>
      <c r="M38" s="275">
        <v>0</v>
      </c>
      <c r="N38" s="217">
        <f t="shared" si="7"/>
        <v>28500</v>
      </c>
      <c r="O38" s="331">
        <v>60</v>
      </c>
      <c r="P38" s="181">
        <f>O38/$O$42</f>
        <v>9.8039215686274508E-2</v>
      </c>
      <c r="Q38" s="194">
        <f>P38*$K$42</f>
        <v>206.86274509803923</v>
      </c>
      <c r="R38" s="332">
        <v>360</v>
      </c>
    </row>
    <row r="39" spans="1:20">
      <c r="A39" s="242" t="s">
        <v>82</v>
      </c>
      <c r="B39" s="243"/>
      <c r="C39" s="244">
        <f>第ニ!E29</f>
        <v>21500</v>
      </c>
      <c r="D39" s="244">
        <f>第ニ!F29</f>
        <v>21500</v>
      </c>
      <c r="E39" s="261">
        <f t="shared" si="4"/>
        <v>43000</v>
      </c>
      <c r="F39" s="244">
        <f>第ニ!H29</f>
        <v>21500</v>
      </c>
      <c r="G39" s="244">
        <f>第ニ!I29</f>
        <v>21500</v>
      </c>
      <c r="H39" s="261">
        <f t="shared" si="5"/>
        <v>43000</v>
      </c>
      <c r="I39" s="267">
        <f t="shared" si="6"/>
        <v>86000</v>
      </c>
      <c r="J39" s="194">
        <v>85680</v>
      </c>
      <c r="K39" s="217">
        <f>R39</f>
        <v>320</v>
      </c>
      <c r="L39" s="194">
        <f>J39+K39</f>
        <v>86000</v>
      </c>
      <c r="M39" s="275">
        <v>0</v>
      </c>
      <c r="N39" s="217">
        <f t="shared" si="7"/>
        <v>86000</v>
      </c>
      <c r="O39" s="331">
        <v>132</v>
      </c>
      <c r="P39" s="181">
        <f>O39/$O$42</f>
        <v>0.21568627450980393</v>
      </c>
      <c r="Q39" s="194">
        <f>P39*$K$42</f>
        <v>455.0980392156863</v>
      </c>
      <c r="R39" s="332">
        <v>320</v>
      </c>
    </row>
    <row r="40" spans="1:20">
      <c r="A40" s="242" t="s">
        <v>88</v>
      </c>
      <c r="B40" s="243"/>
      <c r="C40" s="244">
        <f>アプ開発!E30</f>
        <v>19366</v>
      </c>
      <c r="D40" s="244">
        <f>アプ開発!F30</f>
        <v>17024</v>
      </c>
      <c r="E40" s="261">
        <f t="shared" si="4"/>
        <v>36390</v>
      </c>
      <c r="F40" s="244">
        <f>アプ開発!H30</f>
        <v>16562</v>
      </c>
      <c r="G40" s="244">
        <f>アプ開発!I30</f>
        <v>18937</v>
      </c>
      <c r="H40" s="261">
        <f t="shared" si="5"/>
        <v>35499</v>
      </c>
      <c r="I40" s="267">
        <f t="shared" si="6"/>
        <v>71889</v>
      </c>
      <c r="J40" s="194">
        <v>71082</v>
      </c>
      <c r="K40" s="217">
        <f>R40</f>
        <v>418</v>
      </c>
      <c r="L40" s="194">
        <f>J40+K40</f>
        <v>71500</v>
      </c>
      <c r="M40" s="275">
        <v>0</v>
      </c>
      <c r="N40" s="217">
        <f t="shared" si="7"/>
        <v>71500</v>
      </c>
      <c r="O40" s="331">
        <v>84</v>
      </c>
      <c r="P40" s="181">
        <f>O40/$O$42</f>
        <v>0.13725490196078433</v>
      </c>
      <c r="Q40" s="194">
        <f>P40*$K$42</f>
        <v>289.60784313725492</v>
      </c>
      <c r="R40" s="332">
        <v>418</v>
      </c>
    </row>
    <row r="41" spans="1:20">
      <c r="A41" s="249" t="s">
        <v>2</v>
      </c>
      <c r="B41" s="250"/>
      <c r="C41" s="251">
        <f>シス基盤!E32</f>
        <v>17700</v>
      </c>
      <c r="D41" s="251">
        <f>シス基盤!F32</f>
        <v>18400</v>
      </c>
      <c r="E41" s="262">
        <f t="shared" si="4"/>
        <v>36100</v>
      </c>
      <c r="F41" s="251">
        <f>シス基盤!H32</f>
        <v>18400</v>
      </c>
      <c r="G41" s="251">
        <f>シス基盤!I32</f>
        <v>19500</v>
      </c>
      <c r="H41" s="262">
        <f t="shared" si="5"/>
        <v>37900</v>
      </c>
      <c r="I41" s="268">
        <f t="shared" si="6"/>
        <v>74000</v>
      </c>
      <c r="J41" s="194">
        <v>73598</v>
      </c>
      <c r="K41" s="217">
        <f>R41</f>
        <v>402</v>
      </c>
      <c r="L41" s="194">
        <f>J41+K41</f>
        <v>74000</v>
      </c>
      <c r="M41" s="275">
        <v>0</v>
      </c>
      <c r="N41" s="217">
        <f t="shared" si="7"/>
        <v>74000</v>
      </c>
      <c r="O41" s="331">
        <v>96</v>
      </c>
      <c r="P41" s="181">
        <f>O41/$O$42</f>
        <v>0.15686274509803921</v>
      </c>
      <c r="Q41" s="194">
        <f>P41*$K$42</f>
        <v>330.98039215686276</v>
      </c>
      <c r="R41" s="332">
        <v>402</v>
      </c>
    </row>
    <row r="42" spans="1:20">
      <c r="A42" s="245" t="s">
        <v>31</v>
      </c>
      <c r="B42" s="246"/>
      <c r="C42" s="252">
        <f>SUM(C37:C41)</f>
        <v>98466</v>
      </c>
      <c r="D42" s="252">
        <f>SUM(D37:D41)</f>
        <v>97824</v>
      </c>
      <c r="E42" s="263">
        <f t="shared" si="4"/>
        <v>196290</v>
      </c>
      <c r="F42" s="252">
        <f>SUM(F37:F41)</f>
        <v>96962</v>
      </c>
      <c r="G42" s="252">
        <f>SUM(G37:G41)</f>
        <v>102137</v>
      </c>
      <c r="H42" s="263">
        <f t="shared" si="5"/>
        <v>199099</v>
      </c>
      <c r="I42" s="270">
        <f t="shared" si="6"/>
        <v>395389</v>
      </c>
      <c r="J42" s="194">
        <f>SUM(J37:J41)</f>
        <v>392890</v>
      </c>
      <c r="K42" s="217">
        <f>L42-J42</f>
        <v>2110</v>
      </c>
      <c r="L42" s="336">
        <v>395000</v>
      </c>
      <c r="M42" s="275">
        <f>SUM(M37:M41)</f>
        <v>0</v>
      </c>
      <c r="N42" s="217">
        <f t="shared" si="7"/>
        <v>395000</v>
      </c>
      <c r="O42" s="253">
        <f>SUM(O37:O41)</f>
        <v>612</v>
      </c>
      <c r="P42" s="333">
        <f>SUM(P37:P41)</f>
        <v>0.99999999999999989</v>
      </c>
      <c r="Q42" s="334">
        <f>SUM(Q37:Q41)</f>
        <v>2110</v>
      </c>
      <c r="R42" s="335">
        <f>SUM(R37:R41)</f>
        <v>2110</v>
      </c>
    </row>
    <row r="43" spans="1:20">
      <c r="A43" s="256" t="s">
        <v>105</v>
      </c>
      <c r="B43" s="257"/>
      <c r="C43" s="258">
        <f>'第ニ (CO)'!E29</f>
        <v>4000</v>
      </c>
      <c r="D43" s="258">
        <f>'第ニ (CO)'!F29</f>
        <v>4000</v>
      </c>
      <c r="E43" s="264">
        <f t="shared" si="4"/>
        <v>8000</v>
      </c>
      <c r="F43" s="258">
        <f>'第ニ (CO)'!H29</f>
        <v>4000</v>
      </c>
      <c r="G43" s="258">
        <f>'第ニ (CO)'!I29</f>
        <v>4000</v>
      </c>
      <c r="H43" s="264">
        <f t="shared" si="5"/>
        <v>8000</v>
      </c>
      <c r="I43" s="269">
        <f t="shared" si="6"/>
        <v>16000</v>
      </c>
      <c r="J43" s="194">
        <v>16000</v>
      </c>
      <c r="K43" s="217">
        <v>0</v>
      </c>
      <c r="L43" s="336">
        <f>J43+K43</f>
        <v>16000</v>
      </c>
      <c r="N43" s="217">
        <f t="shared" si="7"/>
        <v>16000</v>
      </c>
    </row>
    <row r="44" spans="1:20">
      <c r="A44" s="253"/>
      <c r="B44" s="254"/>
      <c r="C44" s="255"/>
      <c r="D44" s="255"/>
      <c r="E44" s="271">
        <f>E42+E43</f>
        <v>204290</v>
      </c>
      <c r="F44" s="255"/>
      <c r="G44" s="255"/>
      <c r="H44" s="271">
        <f>H42+H43</f>
        <v>207099</v>
      </c>
      <c r="I44" s="271">
        <f>I42+I43</f>
        <v>411389</v>
      </c>
      <c r="J44" s="194">
        <f>SUM(J42:J43)</f>
        <v>408890</v>
      </c>
      <c r="K44" s="217">
        <f>L44-J44</f>
        <v>2110</v>
      </c>
      <c r="L44" s="336">
        <f>SUM(L42:L43)</f>
        <v>411000</v>
      </c>
      <c r="N44" s="217">
        <f t="shared" si="7"/>
        <v>411000</v>
      </c>
    </row>
    <row r="46" spans="1:20">
      <c r="M46" t="s">
        <v>60</v>
      </c>
      <c r="N46" s="194">
        <f>'サマリー（入力禁止）'!L36</f>
        <v>370178</v>
      </c>
      <c r="O46" s="245" t="s">
        <v>119</v>
      </c>
      <c r="P46" s="246" t="s">
        <v>120</v>
      </c>
      <c r="Q46" s="246" t="s">
        <v>123</v>
      </c>
      <c r="R46" s="375" t="s">
        <v>116</v>
      </c>
      <c r="S46" s="380" t="s">
        <v>124</v>
      </c>
      <c r="T46" s="366" t="s">
        <v>125</v>
      </c>
    </row>
    <row r="47" spans="1:20">
      <c r="M47" t="s">
        <v>126</v>
      </c>
      <c r="N47" s="194">
        <f>N42</f>
        <v>395000</v>
      </c>
      <c r="O47" s="240">
        <v>240</v>
      </c>
      <c r="P47" s="368">
        <f>O47/$O$42</f>
        <v>0.39215686274509803</v>
      </c>
      <c r="Q47" s="369">
        <f>P47*$N$48</f>
        <v>9734.1176470588234</v>
      </c>
      <c r="R47" s="376">
        <f>'サマリー（入力禁止）'!$M$8</f>
        <v>6774</v>
      </c>
      <c r="S47" s="381">
        <f>R47-Q47</f>
        <v>-2960.1176470588234</v>
      </c>
      <c r="T47" s="370">
        <f t="shared" ref="T47:T52" si="8">R47/Q47</f>
        <v>0.69590282813633064</v>
      </c>
    </row>
    <row r="48" spans="1:20">
      <c r="M48" t="s">
        <v>124</v>
      </c>
      <c r="N48" s="194">
        <f>N47-N46</f>
        <v>24822</v>
      </c>
      <c r="O48" s="242">
        <v>60</v>
      </c>
      <c r="P48" s="363">
        <f>O48/$O$42</f>
        <v>9.8039215686274508E-2</v>
      </c>
      <c r="Q48" s="364">
        <f>P48*$N$48</f>
        <v>2433.5294117647059</v>
      </c>
      <c r="R48" s="377">
        <f>'サマリー（入力禁止）'!M13</f>
        <v>1451</v>
      </c>
      <c r="S48" s="382">
        <f>R48-Q48</f>
        <v>-982.52941176470586</v>
      </c>
      <c r="T48" s="365">
        <f t="shared" si="8"/>
        <v>0.59625332366449113</v>
      </c>
    </row>
    <row r="49" spans="15:20">
      <c r="O49" s="242">
        <v>132</v>
      </c>
      <c r="P49" s="363">
        <f>O49/$O$42</f>
        <v>0.21568627450980393</v>
      </c>
      <c r="Q49" s="364">
        <f>P49*$N$48</f>
        <v>5353.7647058823532</v>
      </c>
      <c r="R49" s="377">
        <f>'サマリー（入力禁止）'!M18</f>
        <v>4400</v>
      </c>
      <c r="S49" s="382">
        <f>R49-Q49</f>
        <v>-953.76470588235316</v>
      </c>
      <c r="T49" s="365">
        <f t="shared" si="8"/>
        <v>0.82185158327290309</v>
      </c>
    </row>
    <row r="50" spans="15:20">
      <c r="O50" s="242">
        <v>84</v>
      </c>
      <c r="P50" s="363">
        <f>O50/$O$42</f>
        <v>0.13725490196078433</v>
      </c>
      <c r="Q50" s="364">
        <f>P50*$N$48</f>
        <v>3406.9411764705887</v>
      </c>
      <c r="R50" s="377">
        <f>'サマリー（入力禁止）'!M28</f>
        <v>6555</v>
      </c>
      <c r="S50" s="382">
        <f>R50-Q50</f>
        <v>3148.0588235294113</v>
      </c>
      <c r="T50" s="365">
        <f t="shared" si="8"/>
        <v>1.9240132601263853</v>
      </c>
    </row>
    <row r="51" spans="15:20" ht="18.600000000000001" customHeight="1" thickBot="1">
      <c r="O51" s="371">
        <v>96</v>
      </c>
      <c r="P51" s="372">
        <f>O51/$O$42</f>
        <v>0.15686274509803921</v>
      </c>
      <c r="Q51" s="373">
        <f>P51*$N$48</f>
        <v>3893.6470588235293</v>
      </c>
      <c r="R51" s="378">
        <f>'サマリー（入力禁止）'!M33</f>
        <v>6031</v>
      </c>
      <c r="S51" s="383">
        <f>R51-Q51</f>
        <v>2137.3529411764707</v>
      </c>
      <c r="T51" s="374">
        <f t="shared" si="8"/>
        <v>1.5489334058496496</v>
      </c>
    </row>
    <row r="52" spans="15:20" ht="18.600000000000001" customHeight="1" thickTop="1">
      <c r="O52" s="253">
        <f>SUM(O47:O51)</f>
        <v>612</v>
      </c>
      <c r="P52" s="333">
        <f>SUM(P47:P51)</f>
        <v>0.99999999999999989</v>
      </c>
      <c r="Q52" s="334">
        <f>SUM(Q47:Q51)</f>
        <v>24821.999999999996</v>
      </c>
      <c r="R52" s="379">
        <f>SUM(R47:R51)</f>
        <v>25211</v>
      </c>
      <c r="S52" s="384">
        <f>SUM(S47:S51)</f>
        <v>388.99999999999909</v>
      </c>
      <c r="T52" s="367">
        <f t="shared" si="8"/>
        <v>1.0156715816614295</v>
      </c>
    </row>
  </sheetData>
  <phoneticPr fontId="2"/>
  <pageMargins left="0.7" right="0.7" top="0.75" bottom="0.75" header="0.3" footer="0.3"/>
  <pageSetup paperSize="9" scale="61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6"/>
  <sheetViews>
    <sheetView showGridLines="0" view="pageBreakPreview" topLeftCell="A6" zoomScale="85" zoomScaleNormal="100" zoomScaleSheetLayoutView="85" workbookViewId="0">
      <selection activeCell="L23" sqref="L23"/>
    </sheetView>
  </sheetViews>
  <sheetFormatPr defaultColWidth="8.75" defaultRowHeight="14.25"/>
  <cols>
    <col min="1" max="1" width="3.75" style="2" customWidth="1"/>
    <col min="2" max="2" width="3.125" style="2" customWidth="1"/>
    <col min="3" max="3" width="27.25" style="2" customWidth="1"/>
    <col min="4" max="4" width="9.25" style="3" customWidth="1"/>
    <col min="5" max="11" width="8.75" style="17" customWidth="1"/>
    <col min="12" max="12" width="8.75" style="2" customWidth="1"/>
    <col min="13" max="13" width="9.875" style="2" bestFit="1" customWidth="1"/>
    <col min="14" max="14" width="11" style="2" bestFit="1" customWidth="1"/>
    <col min="15" max="15" width="8.75" style="2" customWidth="1"/>
    <col min="16" max="16" width="10.25" style="2" bestFit="1" customWidth="1"/>
    <col min="17" max="18" width="8.75" style="2" customWidth="1"/>
    <col min="19" max="16384" width="8.75" style="2"/>
  </cols>
  <sheetData>
    <row r="1" spans="1:23">
      <c r="A1" s="2" t="s">
        <v>0</v>
      </c>
    </row>
    <row r="2" spans="1:23">
      <c r="B2" s="3" t="s">
        <v>1</v>
      </c>
      <c r="C2" s="2" t="s">
        <v>127</v>
      </c>
      <c r="K2" s="18" t="s">
        <v>3</v>
      </c>
    </row>
    <row r="3" spans="1:23">
      <c r="B3" s="2" t="s">
        <v>4</v>
      </c>
      <c r="E3" s="18" t="s">
        <v>5</v>
      </c>
      <c r="F3" s="18" t="s">
        <v>6</v>
      </c>
      <c r="G3" s="18"/>
      <c r="H3" s="18" t="s">
        <v>7</v>
      </c>
      <c r="I3" s="18" t="s">
        <v>8</v>
      </c>
      <c r="M3" s="2" t="s">
        <v>80</v>
      </c>
    </row>
    <row r="4" spans="1:23">
      <c r="B4" s="4" t="s">
        <v>9</v>
      </c>
      <c r="C4" s="4"/>
      <c r="D4" s="5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15</v>
      </c>
      <c r="J4" s="19" t="s">
        <v>13</v>
      </c>
      <c r="K4" s="19" t="s">
        <v>16</v>
      </c>
      <c r="M4" s="167" t="s">
        <v>128</v>
      </c>
      <c r="N4" s="168"/>
      <c r="O4" s="168" t="s">
        <v>129</v>
      </c>
      <c r="P4" s="169">
        <v>33538</v>
      </c>
      <c r="Q4" s="170" t="s">
        <v>130</v>
      </c>
      <c r="R4" s="156"/>
      <c r="S4" s="156"/>
      <c r="T4" s="156"/>
      <c r="U4" s="156"/>
      <c r="V4" s="156"/>
      <c r="W4" s="156"/>
    </row>
    <row r="5" spans="1:23">
      <c r="B5" s="6" t="s">
        <v>17</v>
      </c>
      <c r="C5" s="4"/>
      <c r="D5" s="5"/>
      <c r="E5" s="20"/>
      <c r="F5" s="20"/>
      <c r="G5" s="20"/>
      <c r="H5" s="20"/>
      <c r="I5" s="20"/>
      <c r="J5" s="20"/>
      <c r="K5" s="20"/>
      <c r="M5" s="171"/>
      <c r="N5" s="172"/>
      <c r="O5" s="172" t="s">
        <v>131</v>
      </c>
      <c r="P5" s="173">
        <v>39000</v>
      </c>
      <c r="Q5" s="174" t="s">
        <v>130</v>
      </c>
      <c r="R5" s="156"/>
      <c r="S5" s="156"/>
      <c r="T5" s="156"/>
      <c r="U5" s="156"/>
      <c r="V5" s="156"/>
      <c r="W5" s="156"/>
    </row>
    <row r="6" spans="1:23">
      <c r="B6" s="7"/>
      <c r="C6" s="154"/>
      <c r="D6" s="161"/>
      <c r="E6" s="145"/>
      <c r="F6" s="145"/>
      <c r="G6" s="199"/>
      <c r="H6" s="145"/>
      <c r="I6" s="145"/>
      <c r="J6" s="199"/>
      <c r="K6" s="199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</row>
    <row r="7" spans="1:23">
      <c r="B7" s="7"/>
      <c r="C7" s="149"/>
      <c r="D7" s="162"/>
      <c r="E7" s="22"/>
      <c r="F7" s="22"/>
      <c r="G7" s="199"/>
      <c r="H7" s="22"/>
      <c r="I7" s="22"/>
      <c r="J7" s="199"/>
      <c r="K7" s="199"/>
      <c r="M7" s="167" t="s">
        <v>71</v>
      </c>
      <c r="N7" s="168" t="s">
        <v>132</v>
      </c>
      <c r="O7" s="168" t="s">
        <v>131</v>
      </c>
      <c r="P7" s="169">
        <v>35200</v>
      </c>
      <c r="Q7" s="170" t="s">
        <v>130</v>
      </c>
      <c r="R7" s="156"/>
      <c r="S7" s="156"/>
      <c r="T7" s="156"/>
      <c r="U7" s="156"/>
      <c r="V7" s="156"/>
      <c r="W7" s="156"/>
    </row>
    <row r="8" spans="1:23">
      <c r="B8" s="7"/>
      <c r="C8" s="164"/>
      <c r="D8" s="165"/>
      <c r="E8" s="22"/>
      <c r="F8" s="22"/>
      <c r="G8" s="199"/>
      <c r="H8" s="22"/>
      <c r="I8" s="22"/>
      <c r="J8" s="199"/>
      <c r="K8" s="199"/>
      <c r="M8" s="171"/>
      <c r="N8" s="172"/>
      <c r="O8" s="172" t="s">
        <v>133</v>
      </c>
      <c r="P8" s="173">
        <v>8800</v>
      </c>
      <c r="Q8" s="174" t="s">
        <v>130</v>
      </c>
      <c r="R8" s="156"/>
      <c r="S8" s="156"/>
      <c r="T8" s="156"/>
      <c r="U8" s="156"/>
      <c r="V8" s="156"/>
      <c r="W8" s="156"/>
    </row>
    <row r="9" spans="1:23">
      <c r="B9" s="7"/>
      <c r="C9" s="164"/>
      <c r="D9" s="165"/>
      <c r="E9" s="22"/>
      <c r="F9" s="22"/>
      <c r="G9" s="199"/>
      <c r="H9" s="22"/>
      <c r="I9" s="22"/>
      <c r="J9" s="199"/>
      <c r="K9" s="199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</row>
    <row r="10" spans="1:23">
      <c r="B10" s="7"/>
      <c r="C10" s="164"/>
      <c r="D10" s="165"/>
      <c r="E10" s="22"/>
      <c r="F10" s="22"/>
      <c r="G10" s="166"/>
      <c r="H10" s="22"/>
      <c r="I10" s="22"/>
      <c r="J10" s="166"/>
      <c r="K10" s="166"/>
      <c r="L10" s="55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</row>
    <row r="11" spans="1:23">
      <c r="B11" s="8"/>
      <c r="C11" s="159" t="s">
        <v>31</v>
      </c>
      <c r="D11" s="159"/>
      <c r="E11" s="144">
        <f t="shared" ref="E11:K11" si="0">SUM(E6:E10)</f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</row>
    <row r="12" spans="1:23">
      <c r="B12" s="6" t="s">
        <v>32</v>
      </c>
      <c r="C12" s="4"/>
      <c r="D12" s="5"/>
      <c r="E12" s="20"/>
      <c r="F12" s="20"/>
      <c r="G12" s="20"/>
      <c r="H12" s="20"/>
      <c r="I12" s="20"/>
      <c r="J12" s="20"/>
      <c r="K12" s="20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</row>
    <row r="13" spans="1:23">
      <c r="B13" s="7"/>
      <c r="C13" s="9"/>
      <c r="D13" s="10"/>
      <c r="E13" s="21"/>
      <c r="F13" s="21"/>
      <c r="G13" s="26">
        <f>SUM(E13:F13)</f>
        <v>0</v>
      </c>
      <c r="H13" s="21"/>
      <c r="I13" s="21"/>
      <c r="J13" s="26">
        <f>SUM(H13:I13)</f>
        <v>0</v>
      </c>
      <c r="K13" s="26">
        <f>SUM(G13,J13)</f>
        <v>0</v>
      </c>
      <c r="M13" s="156"/>
      <c r="N13" s="156" t="s">
        <v>134</v>
      </c>
      <c r="O13" s="156"/>
      <c r="P13" s="156"/>
      <c r="Q13" s="156"/>
      <c r="R13" s="156"/>
      <c r="S13" s="156"/>
      <c r="T13" s="156"/>
      <c r="U13" s="156"/>
      <c r="V13" s="156"/>
      <c r="W13" s="156"/>
    </row>
    <row r="14" spans="1:23">
      <c r="B14" s="7"/>
      <c r="C14" s="11"/>
      <c r="D14" s="12"/>
      <c r="E14" s="22"/>
      <c r="F14" s="22"/>
      <c r="G14" s="27">
        <f>SUM(E14:F14)</f>
        <v>0</v>
      </c>
      <c r="H14" s="22"/>
      <c r="I14" s="22"/>
      <c r="J14" s="27">
        <f>SUM(H14:I14)</f>
        <v>0</v>
      </c>
      <c r="K14" s="27">
        <f>SUM(G14,J14)</f>
        <v>0</v>
      </c>
      <c r="M14" s="156"/>
      <c r="N14" s="156" t="s">
        <v>135</v>
      </c>
      <c r="O14" s="156"/>
      <c r="P14" s="156">
        <v>527</v>
      </c>
      <c r="Q14" s="156" t="s">
        <v>130</v>
      </c>
      <c r="R14" s="156"/>
      <c r="S14" s="156"/>
      <c r="T14" s="156"/>
      <c r="U14" s="156"/>
      <c r="V14" s="156"/>
      <c r="W14" s="156"/>
    </row>
    <row r="15" spans="1:23">
      <c r="B15" s="7"/>
      <c r="C15" s="11"/>
      <c r="D15" s="12"/>
      <c r="E15" s="22"/>
      <c r="F15" s="22"/>
      <c r="G15" s="27">
        <f>SUM(E15:F15)</f>
        <v>0</v>
      </c>
      <c r="H15" s="22"/>
      <c r="I15" s="22"/>
      <c r="J15" s="27">
        <f>SUM(H15:I15)</f>
        <v>0</v>
      </c>
      <c r="K15" s="27">
        <f>SUM(G15,J15)</f>
        <v>0</v>
      </c>
      <c r="M15" s="156"/>
      <c r="N15" s="156" t="s">
        <v>136</v>
      </c>
      <c r="O15" s="156"/>
      <c r="P15" s="175">
        <v>2635</v>
      </c>
      <c r="Q15" s="156" t="s">
        <v>130</v>
      </c>
      <c r="R15" s="156"/>
      <c r="S15" s="156"/>
      <c r="T15" s="156"/>
      <c r="U15" s="156"/>
      <c r="V15" s="156"/>
      <c r="W15" s="156"/>
    </row>
    <row r="16" spans="1:23">
      <c r="B16" s="7"/>
      <c r="C16" s="13"/>
      <c r="D16" s="14"/>
      <c r="E16" s="23"/>
      <c r="F16" s="23"/>
      <c r="G16" s="28">
        <f>SUM(E16:F16)</f>
        <v>0</v>
      </c>
      <c r="H16" s="23"/>
      <c r="I16" s="23"/>
      <c r="J16" s="28">
        <f>SUM(H16:I16)</f>
        <v>0</v>
      </c>
      <c r="K16" s="28">
        <f>SUM(G16,J16)</f>
        <v>0</v>
      </c>
      <c r="M16" s="156"/>
      <c r="N16" s="156" t="s">
        <v>137</v>
      </c>
      <c r="O16" s="156"/>
      <c r="P16" s="175">
        <v>7905</v>
      </c>
      <c r="Q16" s="156" t="s">
        <v>130</v>
      </c>
      <c r="R16" s="156"/>
      <c r="S16" s="156"/>
      <c r="T16" s="156"/>
      <c r="U16" s="156"/>
      <c r="V16" s="156"/>
      <c r="W16" s="156"/>
    </row>
    <row r="17" spans="2:23">
      <c r="B17" s="8"/>
      <c r="C17" s="15" t="s">
        <v>31</v>
      </c>
      <c r="D17" s="15"/>
      <c r="E17" s="24">
        <f t="shared" ref="E17:K17" si="1">SUM(E13:E16)</f>
        <v>0</v>
      </c>
      <c r="F17" s="24">
        <f t="shared" si="1"/>
        <v>0</v>
      </c>
      <c r="G17" s="24">
        <f t="shared" si="1"/>
        <v>0</v>
      </c>
      <c r="H17" s="24">
        <f t="shared" si="1"/>
        <v>0</v>
      </c>
      <c r="I17" s="24">
        <f t="shared" si="1"/>
        <v>0</v>
      </c>
      <c r="J17" s="24">
        <f t="shared" si="1"/>
        <v>0</v>
      </c>
      <c r="K17" s="24">
        <f t="shared" si="1"/>
        <v>0</v>
      </c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</row>
    <row r="18" spans="2:23">
      <c r="B18" s="158" t="s">
        <v>36</v>
      </c>
      <c r="C18" s="153"/>
      <c r="D18" s="159"/>
      <c r="E18" s="153"/>
      <c r="F18" s="153"/>
      <c r="G18" s="153"/>
      <c r="H18" s="153"/>
      <c r="I18" s="153"/>
      <c r="J18" s="153"/>
      <c r="K18" s="153"/>
    </row>
    <row r="19" spans="2:23">
      <c r="B19" s="160"/>
      <c r="C19" s="9" t="s">
        <v>138</v>
      </c>
      <c r="D19" s="10" t="s">
        <v>139</v>
      </c>
      <c r="E19" s="21">
        <v>14320</v>
      </c>
      <c r="F19" s="21">
        <v>13900</v>
      </c>
      <c r="G19" s="26">
        <f t="shared" ref="G19:G27" si="2">SUM(E19:F19)</f>
        <v>28220</v>
      </c>
      <c r="H19" s="21">
        <v>13070</v>
      </c>
      <c r="I19" s="21">
        <v>14110</v>
      </c>
      <c r="J19" s="26">
        <f t="shared" ref="J19:J27" si="3">SUM(H19:I19)</f>
        <v>27180</v>
      </c>
      <c r="K19" s="26">
        <f t="shared" ref="K19:K27" si="4">SUM(G19,J19)</f>
        <v>55400</v>
      </c>
      <c r="L19" s="17"/>
    </row>
    <row r="20" spans="2:23" ht="14.45" customHeight="1">
      <c r="B20" s="160"/>
      <c r="C20" s="11" t="s">
        <v>140</v>
      </c>
      <c r="D20" s="12" t="s">
        <v>139</v>
      </c>
      <c r="E20" s="22">
        <v>6640</v>
      </c>
      <c r="F20" s="22">
        <v>6350</v>
      </c>
      <c r="G20" s="27">
        <f t="shared" si="2"/>
        <v>12990</v>
      </c>
      <c r="H20" s="22">
        <v>6250</v>
      </c>
      <c r="I20" s="22">
        <v>6440</v>
      </c>
      <c r="J20" s="27">
        <f t="shared" si="3"/>
        <v>12690</v>
      </c>
      <c r="K20" s="27">
        <f t="shared" si="4"/>
        <v>25680</v>
      </c>
      <c r="L20" s="17"/>
      <c r="N20" s="2" t="s">
        <v>141</v>
      </c>
      <c r="P20" s="2" t="s">
        <v>142</v>
      </c>
    </row>
    <row r="21" spans="2:23" ht="18" customHeight="1">
      <c r="B21" s="160"/>
      <c r="C21" s="11" t="s">
        <v>143</v>
      </c>
      <c r="D21" s="12" t="s">
        <v>139</v>
      </c>
      <c r="E21" s="22">
        <v>4660</v>
      </c>
      <c r="F21" s="22">
        <v>4460</v>
      </c>
      <c r="G21" s="27">
        <f t="shared" si="2"/>
        <v>9120</v>
      </c>
      <c r="H21" s="22">
        <v>4390</v>
      </c>
      <c r="I21" s="22">
        <v>4530</v>
      </c>
      <c r="J21" s="27">
        <f t="shared" si="3"/>
        <v>8920</v>
      </c>
      <c r="K21" s="27">
        <f t="shared" si="4"/>
        <v>18040</v>
      </c>
      <c r="L21" s="17"/>
      <c r="N21" s="200">
        <v>127932</v>
      </c>
      <c r="P21" s="2" t="s">
        <v>144</v>
      </c>
    </row>
    <row r="22" spans="2:23">
      <c r="B22" s="160"/>
      <c r="C22" s="11" t="s">
        <v>145</v>
      </c>
      <c r="D22" s="12" t="s">
        <v>139</v>
      </c>
      <c r="E22" s="22">
        <v>1750</v>
      </c>
      <c r="F22" s="22">
        <v>1670</v>
      </c>
      <c r="G22" s="27">
        <f t="shared" si="2"/>
        <v>3420</v>
      </c>
      <c r="H22" s="22">
        <v>1650</v>
      </c>
      <c r="I22" s="22">
        <v>1700</v>
      </c>
      <c r="J22" s="27">
        <f t="shared" si="3"/>
        <v>3350</v>
      </c>
      <c r="K22" s="27">
        <f t="shared" si="4"/>
        <v>6770</v>
      </c>
      <c r="L22" s="17"/>
      <c r="N22" s="2" t="s">
        <v>146</v>
      </c>
      <c r="P22" s="2" t="s">
        <v>147</v>
      </c>
    </row>
    <row r="23" spans="2:23">
      <c r="B23" s="160"/>
      <c r="C23" s="11" t="s">
        <v>148</v>
      </c>
      <c r="D23" s="12" t="s">
        <v>139</v>
      </c>
      <c r="E23" s="22">
        <v>1920</v>
      </c>
      <c r="F23" s="22">
        <v>1870</v>
      </c>
      <c r="G23" s="27">
        <f t="shared" si="2"/>
        <v>3790</v>
      </c>
      <c r="H23" s="22">
        <v>1750</v>
      </c>
      <c r="I23" s="22">
        <v>1900</v>
      </c>
      <c r="J23" s="27">
        <f t="shared" si="3"/>
        <v>3650</v>
      </c>
      <c r="K23" s="27">
        <f t="shared" si="4"/>
        <v>7440</v>
      </c>
      <c r="L23" s="17"/>
      <c r="N23" s="2" t="s">
        <v>149</v>
      </c>
      <c r="P23" s="2" t="s">
        <v>150</v>
      </c>
    </row>
    <row r="24" spans="2:23">
      <c r="B24" s="160"/>
      <c r="C24" s="11" t="s">
        <v>151</v>
      </c>
      <c r="D24" s="12" t="s">
        <v>139</v>
      </c>
      <c r="E24" s="22">
        <v>3970</v>
      </c>
      <c r="F24" s="22">
        <v>4460</v>
      </c>
      <c r="G24" s="27">
        <f t="shared" si="2"/>
        <v>8430</v>
      </c>
      <c r="H24" s="22">
        <v>4460</v>
      </c>
      <c r="I24" s="22">
        <v>4460</v>
      </c>
      <c r="J24" s="27">
        <f t="shared" si="3"/>
        <v>8920</v>
      </c>
      <c r="K24" s="27">
        <f t="shared" si="4"/>
        <v>17350</v>
      </c>
      <c r="L24" s="17"/>
      <c r="N24" s="2" t="s">
        <v>152</v>
      </c>
      <c r="P24" s="2" t="s">
        <v>153</v>
      </c>
    </row>
    <row r="25" spans="2:23">
      <c r="B25" s="160"/>
      <c r="C25" s="11" t="s">
        <v>154</v>
      </c>
      <c r="D25" s="12" t="s">
        <v>26</v>
      </c>
      <c r="E25" s="22">
        <v>0</v>
      </c>
      <c r="F25" s="22">
        <v>440</v>
      </c>
      <c r="G25" s="27">
        <f t="shared" si="2"/>
        <v>440</v>
      </c>
      <c r="H25" s="22">
        <v>420</v>
      </c>
      <c r="I25" s="22">
        <v>450</v>
      </c>
      <c r="J25" s="27">
        <f t="shared" si="3"/>
        <v>870</v>
      </c>
      <c r="K25" s="27">
        <f t="shared" si="4"/>
        <v>1310</v>
      </c>
      <c r="L25" s="17"/>
      <c r="N25" s="2" t="s">
        <v>155</v>
      </c>
      <c r="P25" s="2" t="s">
        <v>156</v>
      </c>
    </row>
    <row r="26" spans="2:23">
      <c r="B26" s="160"/>
      <c r="C26" s="11" t="s">
        <v>157</v>
      </c>
      <c r="D26" s="12" t="s">
        <v>26</v>
      </c>
      <c r="E26" s="22">
        <v>0</v>
      </c>
      <c r="F26" s="22">
        <v>0</v>
      </c>
      <c r="G26" s="27">
        <f t="shared" si="2"/>
        <v>0</v>
      </c>
      <c r="H26" s="22">
        <v>1200</v>
      </c>
      <c r="I26" s="22">
        <v>1200</v>
      </c>
      <c r="J26" s="27">
        <f t="shared" si="3"/>
        <v>2400</v>
      </c>
      <c r="K26" s="27">
        <f t="shared" si="4"/>
        <v>2400</v>
      </c>
      <c r="L26" s="17"/>
    </row>
    <row r="27" spans="2:23">
      <c r="B27" s="160"/>
      <c r="C27" s="13" t="s">
        <v>30</v>
      </c>
      <c r="D27" s="14" t="s">
        <v>26</v>
      </c>
      <c r="E27" s="23">
        <v>140</v>
      </c>
      <c r="F27" s="23">
        <v>150</v>
      </c>
      <c r="G27" s="28">
        <f t="shared" si="2"/>
        <v>290</v>
      </c>
      <c r="H27" s="23">
        <v>110</v>
      </c>
      <c r="I27" s="23">
        <v>210</v>
      </c>
      <c r="J27" s="28">
        <f t="shared" si="3"/>
        <v>320</v>
      </c>
      <c r="K27" s="27">
        <f t="shared" si="4"/>
        <v>610</v>
      </c>
      <c r="L27" s="17"/>
    </row>
    <row r="28" spans="2:23">
      <c r="B28" s="163"/>
      <c r="C28" s="15" t="s">
        <v>31</v>
      </c>
      <c r="D28" s="15"/>
      <c r="E28" s="24">
        <f t="shared" ref="E28:K28" si="5">SUM(E19:E27)</f>
        <v>33400</v>
      </c>
      <c r="F28" s="24">
        <f t="shared" si="5"/>
        <v>33300</v>
      </c>
      <c r="G28" s="24">
        <f t="shared" si="5"/>
        <v>66700</v>
      </c>
      <c r="H28" s="24">
        <f t="shared" si="5"/>
        <v>33300</v>
      </c>
      <c r="I28" s="24">
        <f t="shared" si="5"/>
        <v>35000</v>
      </c>
      <c r="J28" s="24">
        <f t="shared" si="5"/>
        <v>68300</v>
      </c>
      <c r="K28" s="24">
        <f t="shared" si="5"/>
        <v>135000</v>
      </c>
      <c r="L28" s="17"/>
    </row>
    <row r="29" spans="2:23">
      <c r="B29" s="6" t="s">
        <v>40</v>
      </c>
      <c r="C29" s="4"/>
      <c r="D29" s="5"/>
      <c r="E29" s="20"/>
      <c r="F29" s="20"/>
      <c r="G29" s="20"/>
      <c r="H29" s="20"/>
      <c r="I29" s="20"/>
      <c r="J29" s="20"/>
      <c r="K29" s="20"/>
    </row>
    <row r="30" spans="2:23">
      <c r="B30" s="7"/>
      <c r="C30" s="9"/>
      <c r="D30" s="10"/>
      <c r="E30" s="21"/>
      <c r="F30" s="21"/>
      <c r="G30" s="26">
        <f>SUM(E30:F30)</f>
        <v>0</v>
      </c>
      <c r="H30" s="21"/>
      <c r="I30" s="21"/>
      <c r="J30" s="26">
        <f>SUM(H30:I30)</f>
        <v>0</v>
      </c>
      <c r="K30" s="26">
        <f>SUM(G30,J30)</f>
        <v>0</v>
      </c>
    </row>
    <row r="31" spans="2:23">
      <c r="B31" s="7"/>
      <c r="C31" s="11"/>
      <c r="D31" s="12"/>
      <c r="E31" s="22"/>
      <c r="F31" s="22"/>
      <c r="G31" s="27">
        <f>SUM(E31:F31)</f>
        <v>0</v>
      </c>
      <c r="H31" s="22"/>
      <c r="I31" s="22"/>
      <c r="J31" s="27">
        <f>SUM(H31:I31)</f>
        <v>0</v>
      </c>
      <c r="K31" s="27">
        <f>SUM(G31,J31)</f>
        <v>0</v>
      </c>
    </row>
    <row r="32" spans="2:23">
      <c r="B32" s="7"/>
      <c r="C32" s="11"/>
      <c r="D32" s="12"/>
      <c r="E32" s="22"/>
      <c r="F32" s="22"/>
      <c r="G32" s="27">
        <f>SUM(E32:F32)</f>
        <v>0</v>
      </c>
      <c r="H32" s="22"/>
      <c r="I32" s="22"/>
      <c r="J32" s="27">
        <f>SUM(H32:I32)</f>
        <v>0</v>
      </c>
      <c r="K32" s="27">
        <f>SUM(G32,J32)</f>
        <v>0</v>
      </c>
    </row>
    <row r="33" spans="2:15">
      <c r="B33" s="7"/>
      <c r="C33" s="13"/>
      <c r="D33" s="14"/>
      <c r="E33" s="23"/>
      <c r="F33" s="23"/>
      <c r="G33" s="28">
        <f>SUM(E33:F33)</f>
        <v>0</v>
      </c>
      <c r="H33" s="23"/>
      <c r="I33" s="23"/>
      <c r="J33" s="28">
        <f>SUM(H33:I33)</f>
        <v>0</v>
      </c>
      <c r="K33" s="28">
        <f>SUM(G33,J33)</f>
        <v>0</v>
      </c>
    </row>
    <row r="34" spans="2:15">
      <c r="B34" s="8"/>
      <c r="C34" s="5" t="s">
        <v>31</v>
      </c>
      <c r="D34" s="5"/>
      <c r="E34" s="20">
        <f t="shared" ref="E34:K34" si="6">SUM(E30:E33)</f>
        <v>0</v>
      </c>
      <c r="F34" s="20">
        <f t="shared" si="6"/>
        <v>0</v>
      </c>
      <c r="G34" s="20">
        <f t="shared" si="6"/>
        <v>0</v>
      </c>
      <c r="H34" s="20">
        <f t="shared" si="6"/>
        <v>0</v>
      </c>
      <c r="I34" s="20">
        <f t="shared" si="6"/>
        <v>0</v>
      </c>
      <c r="J34" s="20">
        <f t="shared" si="6"/>
        <v>0</v>
      </c>
      <c r="K34" s="20">
        <f t="shared" si="6"/>
        <v>0</v>
      </c>
    </row>
    <row r="35" spans="2:15">
      <c r="B35" s="4"/>
      <c r="C35" s="5" t="s">
        <v>16</v>
      </c>
      <c r="D35" s="5"/>
      <c r="E35" s="20">
        <f t="shared" ref="E35:K35" si="7">SUM(E11,E17,E28,E34)</f>
        <v>33400</v>
      </c>
      <c r="F35" s="20">
        <f t="shared" si="7"/>
        <v>33300</v>
      </c>
      <c r="G35" s="20">
        <f t="shared" si="7"/>
        <v>66700</v>
      </c>
      <c r="H35" s="20">
        <f t="shared" si="7"/>
        <v>33300</v>
      </c>
      <c r="I35" s="20">
        <f t="shared" si="7"/>
        <v>35000</v>
      </c>
      <c r="J35" s="20">
        <f t="shared" si="7"/>
        <v>68300</v>
      </c>
      <c r="K35" s="20">
        <f t="shared" si="7"/>
        <v>135000</v>
      </c>
    </row>
    <row r="36" spans="2:15">
      <c r="H36" s="2"/>
    </row>
    <row r="37" spans="2:15">
      <c r="B37" s="2" t="s">
        <v>41</v>
      </c>
      <c r="O37" s="182"/>
    </row>
    <row r="38" spans="2:15" ht="18.75" customHeight="1">
      <c r="B38" s="16"/>
      <c r="C38" s="385" t="s">
        <v>42</v>
      </c>
      <c r="D38" s="386"/>
      <c r="E38" s="25">
        <v>20</v>
      </c>
      <c r="F38" s="25">
        <v>20</v>
      </c>
      <c r="G38" s="20">
        <f>AVERAGE(E38:F38)</f>
        <v>20</v>
      </c>
      <c r="H38" s="25">
        <v>21</v>
      </c>
      <c r="I38" s="25">
        <v>21</v>
      </c>
      <c r="J38" s="20">
        <f>AVERAGE(H38:I38)</f>
        <v>21</v>
      </c>
      <c r="K38" s="20">
        <f>AVERAGE(G38,J38)</f>
        <v>20.5</v>
      </c>
    </row>
    <row r="39" spans="2:15" ht="18.75" customHeight="1">
      <c r="B39" s="16"/>
      <c r="C39" s="385" t="s">
        <v>43</v>
      </c>
      <c r="D39" s="386"/>
      <c r="E39" s="20">
        <f>IF(E38&lt;&gt;0,E35/E38,0)</f>
        <v>1670</v>
      </c>
      <c r="F39" s="20">
        <f>IF(F38&lt;&gt;0,F35/F38,0)</f>
        <v>1665</v>
      </c>
      <c r="G39" s="20">
        <f>SUM(E39:F39)</f>
        <v>3335</v>
      </c>
      <c r="H39" s="20">
        <f>IF(H38&lt;&gt;0,H35/H38,0)</f>
        <v>1585.7142857142858</v>
      </c>
      <c r="I39" s="20">
        <f>IF(I38&lt;&gt;0,I35/I38,0)</f>
        <v>1666.6666666666667</v>
      </c>
      <c r="J39" s="20">
        <f>SUM(H39:I39)</f>
        <v>3252.3809523809523</v>
      </c>
      <c r="K39" s="20">
        <f>SUM(G39,J39)</f>
        <v>6587.3809523809523</v>
      </c>
    </row>
    <row r="40" spans="2:15" ht="18.75" customHeight="1">
      <c r="B40" s="16"/>
      <c r="C40" s="385" t="s">
        <v>44</v>
      </c>
      <c r="D40" s="386"/>
      <c r="E40" s="20">
        <f>E39/3</f>
        <v>556.66666666666663</v>
      </c>
      <c r="F40" s="20">
        <f>F39/3</f>
        <v>555</v>
      </c>
      <c r="G40" s="20">
        <f>G39/6</f>
        <v>555.83333333333337</v>
      </c>
      <c r="H40" s="20">
        <f>H39/3</f>
        <v>528.57142857142856</v>
      </c>
      <c r="I40" s="20">
        <f>I39/3</f>
        <v>555.55555555555554</v>
      </c>
      <c r="J40" s="20">
        <f>J39/6</f>
        <v>542.06349206349205</v>
      </c>
      <c r="K40" s="20">
        <f>K39/12</f>
        <v>548.94841269841265</v>
      </c>
    </row>
    <row r="45" spans="2:15">
      <c r="N45" s="99"/>
      <c r="O45" s="99"/>
    </row>
    <row r="46" spans="2:15">
      <c r="M46" s="17"/>
    </row>
  </sheetData>
  <mergeCells count="3">
    <mergeCell ref="C38:D38"/>
    <mergeCell ref="C39:D39"/>
    <mergeCell ref="C40:D40"/>
  </mergeCells>
  <phoneticPr fontId="2"/>
  <pageMargins left="0.23622047244094491" right="0.23622047244094491" top="0.74803149606299213" bottom="0.74803149606299213" header="0.31496062992125978" footer="0.31496062992125978"/>
  <pageSetup paperSize="9" scale="8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46"/>
  <sheetViews>
    <sheetView showGridLines="0" view="pageBreakPreview" zoomScale="85" zoomScaleNormal="100" zoomScaleSheetLayoutView="85" workbookViewId="0">
      <selection activeCell="K26" sqref="K19:K26"/>
    </sheetView>
  </sheetViews>
  <sheetFormatPr defaultColWidth="8.75" defaultRowHeight="14.25"/>
  <cols>
    <col min="1" max="1" width="3.75" style="2" customWidth="1"/>
    <col min="2" max="2" width="3.125" style="2" customWidth="1"/>
    <col min="3" max="3" width="27.25" style="2" customWidth="1"/>
    <col min="4" max="4" width="9.25" style="3" customWidth="1"/>
    <col min="5" max="11" width="8.75" style="17" customWidth="1"/>
    <col min="12" max="12" width="8.75" style="2" customWidth="1"/>
    <col min="13" max="13" width="9.875" style="2" bestFit="1" customWidth="1"/>
    <col min="14" max="14" width="11" style="2" bestFit="1" customWidth="1"/>
    <col min="15" max="15" width="8.75" style="2" customWidth="1"/>
    <col min="16" max="16" width="10.25" style="2" bestFit="1" customWidth="1"/>
    <col min="17" max="18" width="8.75" style="2" customWidth="1"/>
    <col min="19" max="16384" width="8.75" style="2"/>
  </cols>
  <sheetData>
    <row r="1" spans="1:23">
      <c r="A1" s="2" t="s">
        <v>0</v>
      </c>
    </row>
    <row r="2" spans="1:23">
      <c r="B2" s="3" t="s">
        <v>1</v>
      </c>
      <c r="C2" s="2" t="s">
        <v>127</v>
      </c>
      <c r="K2" s="18" t="s">
        <v>3</v>
      </c>
    </row>
    <row r="3" spans="1:23">
      <c r="B3" s="2" t="s">
        <v>4</v>
      </c>
      <c r="E3" s="18" t="s">
        <v>5</v>
      </c>
      <c r="F3" s="18" t="s">
        <v>6</v>
      </c>
      <c r="G3" s="18"/>
      <c r="H3" s="18" t="s">
        <v>7</v>
      </c>
      <c r="I3" s="18" t="s">
        <v>8</v>
      </c>
      <c r="M3" s="2" t="s">
        <v>80</v>
      </c>
    </row>
    <row r="4" spans="1:23">
      <c r="B4" s="4" t="s">
        <v>9</v>
      </c>
      <c r="C4" s="4"/>
      <c r="D4" s="5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15</v>
      </c>
      <c r="J4" s="19" t="s">
        <v>13</v>
      </c>
      <c r="K4" s="19" t="s">
        <v>16</v>
      </c>
      <c r="M4" s="167" t="s">
        <v>128</v>
      </c>
      <c r="N4" s="168"/>
      <c r="O4" s="168" t="s">
        <v>129</v>
      </c>
      <c r="P4" s="169">
        <v>33538</v>
      </c>
      <c r="Q4" s="170" t="s">
        <v>130</v>
      </c>
      <c r="R4" s="156"/>
      <c r="S4" s="156"/>
      <c r="T4" s="156"/>
      <c r="U4" s="156"/>
      <c r="V4" s="156"/>
      <c r="W4" s="156"/>
    </row>
    <row r="5" spans="1:23">
      <c r="B5" s="6" t="s">
        <v>17</v>
      </c>
      <c r="C5" s="4"/>
      <c r="D5" s="5"/>
      <c r="E5" s="20"/>
      <c r="F5" s="20"/>
      <c r="G5" s="20"/>
      <c r="H5" s="20"/>
      <c r="I5" s="20"/>
      <c r="J5" s="20"/>
      <c r="K5" s="20"/>
      <c r="M5" s="171"/>
      <c r="N5" s="172"/>
      <c r="O5" s="172" t="s">
        <v>131</v>
      </c>
      <c r="P5" s="173">
        <v>39000</v>
      </c>
      <c r="Q5" s="174" t="s">
        <v>130</v>
      </c>
      <c r="R5" s="156"/>
      <c r="S5" s="156"/>
      <c r="T5" s="156"/>
      <c r="U5" s="156"/>
      <c r="V5" s="156"/>
      <c r="W5" s="156"/>
    </row>
    <row r="6" spans="1:23">
      <c r="B6" s="7"/>
      <c r="C6" s="154" t="s">
        <v>158</v>
      </c>
      <c r="D6" s="161" t="s">
        <v>19</v>
      </c>
      <c r="E6" s="145">
        <v>2300</v>
      </c>
      <c r="F6" s="145">
        <v>2400</v>
      </c>
      <c r="G6" s="199">
        <f>SUM(E6:F6)</f>
        <v>4700</v>
      </c>
      <c r="H6" s="145">
        <v>2000</v>
      </c>
      <c r="I6" s="145">
        <v>2000</v>
      </c>
      <c r="J6" s="199">
        <f>SUM(H6:I6)</f>
        <v>4000</v>
      </c>
      <c r="K6" s="199">
        <f>SUM(G6,J6)</f>
        <v>8700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</row>
    <row r="7" spans="1:23">
      <c r="B7" s="7"/>
      <c r="C7" s="149" t="s">
        <v>159</v>
      </c>
      <c r="D7" s="162" t="s">
        <v>19</v>
      </c>
      <c r="E7" s="22">
        <v>1685</v>
      </c>
      <c r="F7" s="22">
        <v>1685</v>
      </c>
      <c r="G7" s="199">
        <f>SUM(E7:F7)</f>
        <v>3370</v>
      </c>
      <c r="H7" s="22">
        <v>1685</v>
      </c>
      <c r="I7" s="22">
        <v>1685</v>
      </c>
      <c r="J7" s="199">
        <f>SUM(H7:I7)</f>
        <v>3370</v>
      </c>
      <c r="K7" s="199">
        <f>SUM(G7,J7)</f>
        <v>6740</v>
      </c>
      <c r="M7" s="167" t="s">
        <v>71</v>
      </c>
      <c r="N7" s="168" t="s">
        <v>132</v>
      </c>
      <c r="O7" s="168" t="s">
        <v>131</v>
      </c>
      <c r="P7" s="169">
        <v>35200</v>
      </c>
      <c r="Q7" s="170" t="s">
        <v>130</v>
      </c>
      <c r="R7" s="156"/>
      <c r="S7" s="156"/>
      <c r="T7" s="156"/>
      <c r="U7" s="156"/>
      <c r="V7" s="156"/>
      <c r="W7" s="156"/>
    </row>
    <row r="8" spans="1:23">
      <c r="B8" s="7"/>
      <c r="C8" s="164" t="s">
        <v>160</v>
      </c>
      <c r="D8" s="165" t="s">
        <v>34</v>
      </c>
      <c r="E8" s="22">
        <v>1800</v>
      </c>
      <c r="F8" s="22">
        <v>2700</v>
      </c>
      <c r="G8" s="199">
        <f>SUM(E8:F8)</f>
        <v>4500</v>
      </c>
      <c r="H8" s="22">
        <v>2700</v>
      </c>
      <c r="I8" s="22">
        <v>2700</v>
      </c>
      <c r="J8" s="199">
        <f>SUM(H8:I8)</f>
        <v>5400</v>
      </c>
      <c r="K8" s="199">
        <f>SUM(G8,J8)</f>
        <v>9900</v>
      </c>
      <c r="M8" s="171"/>
      <c r="N8" s="172"/>
      <c r="O8" s="172" t="s">
        <v>133</v>
      </c>
      <c r="P8" s="173">
        <v>8800</v>
      </c>
      <c r="Q8" s="174" t="s">
        <v>130</v>
      </c>
      <c r="R8" s="156"/>
      <c r="S8" s="156"/>
      <c r="T8" s="156"/>
      <c r="U8" s="156"/>
      <c r="V8" s="156"/>
      <c r="W8" s="156"/>
    </row>
    <row r="9" spans="1:23">
      <c r="B9" s="7"/>
      <c r="C9" s="164"/>
      <c r="D9" s="165"/>
      <c r="E9" s="22"/>
      <c r="F9" s="22"/>
      <c r="G9" s="199"/>
      <c r="H9" s="22"/>
      <c r="I9" s="22"/>
      <c r="J9" s="199"/>
      <c r="K9" s="199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</row>
    <row r="10" spans="1:23">
      <c r="B10" s="7"/>
      <c r="C10" s="164" t="s">
        <v>161</v>
      </c>
      <c r="D10" s="165" t="s">
        <v>26</v>
      </c>
      <c r="E10" s="337">
        <v>700</v>
      </c>
      <c r="F10" s="337">
        <v>700</v>
      </c>
      <c r="G10" s="338">
        <f>SUM(E10:F10)</f>
        <v>1400</v>
      </c>
      <c r="H10" s="337">
        <v>700</v>
      </c>
      <c r="I10" s="337">
        <v>700</v>
      </c>
      <c r="J10" s="338">
        <f>SUM(H10:I10)</f>
        <v>1400</v>
      </c>
      <c r="K10" s="338">
        <f>SUM(G10,J10)</f>
        <v>2800</v>
      </c>
      <c r="L10" s="55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</row>
    <row r="11" spans="1:23">
      <c r="B11" s="160"/>
      <c r="C11" s="13" t="s">
        <v>30</v>
      </c>
      <c r="D11" s="14" t="s">
        <v>26</v>
      </c>
      <c r="E11" s="23">
        <v>15</v>
      </c>
      <c r="F11" s="23">
        <v>115</v>
      </c>
      <c r="G11" s="28">
        <f>SUM(E11:F11)</f>
        <v>130</v>
      </c>
      <c r="H11" s="23">
        <v>115</v>
      </c>
      <c r="I11" s="23">
        <v>115</v>
      </c>
      <c r="J11" s="28">
        <f>SUM(H11:I11)</f>
        <v>230</v>
      </c>
      <c r="K11" s="28">
        <f>SUM(G11,J11)</f>
        <v>360</v>
      </c>
      <c r="L11" s="17"/>
    </row>
    <row r="12" spans="1:23">
      <c r="B12" s="8"/>
      <c r="C12" s="159" t="s">
        <v>31</v>
      </c>
      <c r="D12" s="159"/>
      <c r="E12" s="144">
        <f t="shared" ref="E12:K12" si="0">SUM(E6:E11)</f>
        <v>6500</v>
      </c>
      <c r="F12" s="144">
        <f t="shared" si="0"/>
        <v>7600</v>
      </c>
      <c r="G12" s="144">
        <f t="shared" si="0"/>
        <v>14100</v>
      </c>
      <c r="H12" s="144">
        <f t="shared" si="0"/>
        <v>7200</v>
      </c>
      <c r="I12" s="144">
        <f t="shared" si="0"/>
        <v>7200</v>
      </c>
      <c r="J12" s="144">
        <f t="shared" si="0"/>
        <v>14400</v>
      </c>
      <c r="K12" s="144">
        <f t="shared" si="0"/>
        <v>28500</v>
      </c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</row>
    <row r="13" spans="1:23">
      <c r="B13" s="6" t="s">
        <v>32</v>
      </c>
      <c r="C13" s="4"/>
      <c r="D13" s="5"/>
      <c r="E13" s="20"/>
      <c r="F13" s="20"/>
      <c r="G13" s="20"/>
      <c r="H13" s="20"/>
      <c r="I13" s="20"/>
      <c r="J13" s="20"/>
      <c r="K13" s="20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</row>
    <row r="14" spans="1:23">
      <c r="B14" s="7"/>
      <c r="C14" s="9"/>
      <c r="D14" s="10"/>
      <c r="E14" s="21"/>
      <c r="F14" s="21"/>
      <c r="G14" s="26">
        <f>SUM(E14:F14)</f>
        <v>0</v>
      </c>
      <c r="H14" s="21"/>
      <c r="I14" s="21"/>
      <c r="J14" s="26">
        <f>SUM(H14:I14)</f>
        <v>0</v>
      </c>
      <c r="K14" s="26">
        <f>SUM(G14,J14)</f>
        <v>0</v>
      </c>
      <c r="M14" s="156"/>
      <c r="N14" s="156" t="s">
        <v>134</v>
      </c>
      <c r="O14" s="156"/>
      <c r="P14" s="156"/>
      <c r="Q14" s="156"/>
      <c r="R14" s="156"/>
      <c r="S14" s="156"/>
      <c r="T14" s="156"/>
      <c r="U14" s="156"/>
      <c r="V14" s="156"/>
      <c r="W14" s="156"/>
    </row>
    <row r="15" spans="1:23">
      <c r="B15" s="7"/>
      <c r="C15" s="11"/>
      <c r="D15" s="12"/>
      <c r="E15" s="22"/>
      <c r="F15" s="22"/>
      <c r="G15" s="27">
        <f>SUM(E15:F15)</f>
        <v>0</v>
      </c>
      <c r="H15" s="22"/>
      <c r="I15" s="22"/>
      <c r="J15" s="27">
        <f>SUM(H15:I15)</f>
        <v>0</v>
      </c>
      <c r="K15" s="27">
        <f>SUM(G15,J15)</f>
        <v>0</v>
      </c>
      <c r="M15" s="156"/>
      <c r="N15" s="156" t="s">
        <v>135</v>
      </c>
      <c r="O15" s="156"/>
      <c r="P15" s="156">
        <v>527</v>
      </c>
      <c r="Q15" s="156" t="s">
        <v>130</v>
      </c>
      <c r="R15" s="156"/>
      <c r="S15" s="156"/>
      <c r="T15" s="156"/>
      <c r="U15" s="156"/>
      <c r="V15" s="156"/>
      <c r="W15" s="156"/>
    </row>
    <row r="16" spans="1:23">
      <c r="B16" s="7"/>
      <c r="C16" s="11"/>
      <c r="D16" s="12"/>
      <c r="E16" s="22"/>
      <c r="F16" s="22"/>
      <c r="G16" s="27">
        <f>SUM(E16:F16)</f>
        <v>0</v>
      </c>
      <c r="H16" s="22"/>
      <c r="I16" s="22"/>
      <c r="J16" s="27">
        <f>SUM(H16:I16)</f>
        <v>0</v>
      </c>
      <c r="K16" s="27">
        <f>SUM(G16,J16)</f>
        <v>0</v>
      </c>
      <c r="M16" s="156"/>
      <c r="N16" s="156" t="s">
        <v>136</v>
      </c>
      <c r="O16" s="156"/>
      <c r="P16" s="175">
        <v>2635</v>
      </c>
      <c r="Q16" s="156" t="s">
        <v>130</v>
      </c>
      <c r="R16" s="156"/>
      <c r="S16" s="156"/>
      <c r="T16" s="156"/>
      <c r="U16" s="156"/>
      <c r="V16" s="156"/>
      <c r="W16" s="156"/>
    </row>
    <row r="17" spans="2:23">
      <c r="B17" s="7"/>
      <c r="C17" s="13"/>
      <c r="D17" s="14"/>
      <c r="E17" s="23"/>
      <c r="F17" s="23"/>
      <c r="G17" s="28">
        <f>SUM(E17:F17)</f>
        <v>0</v>
      </c>
      <c r="H17" s="23"/>
      <c r="I17" s="23"/>
      <c r="J17" s="28">
        <f>SUM(H17:I17)</f>
        <v>0</v>
      </c>
      <c r="K17" s="28">
        <f>SUM(G17,J17)</f>
        <v>0</v>
      </c>
      <c r="M17" s="156"/>
      <c r="N17" s="156" t="s">
        <v>137</v>
      </c>
      <c r="O17" s="156"/>
      <c r="P17" s="175">
        <v>7905</v>
      </c>
      <c r="Q17" s="156" t="s">
        <v>130</v>
      </c>
      <c r="R17" s="156"/>
      <c r="S17" s="156"/>
      <c r="T17" s="156"/>
      <c r="U17" s="156"/>
      <c r="V17" s="156"/>
      <c r="W17" s="156"/>
    </row>
    <row r="18" spans="2:23">
      <c r="B18" s="8"/>
      <c r="C18" s="15" t="s">
        <v>31</v>
      </c>
      <c r="D18" s="15"/>
      <c r="E18" s="24">
        <f t="shared" ref="E18:K18" si="1">SUM(E14:E17)</f>
        <v>0</v>
      </c>
      <c r="F18" s="24">
        <f t="shared" si="1"/>
        <v>0</v>
      </c>
      <c r="G18" s="24">
        <f t="shared" si="1"/>
        <v>0</v>
      </c>
      <c r="H18" s="24">
        <f t="shared" si="1"/>
        <v>0</v>
      </c>
      <c r="I18" s="24">
        <f t="shared" si="1"/>
        <v>0</v>
      </c>
      <c r="J18" s="24">
        <f t="shared" si="1"/>
        <v>0</v>
      </c>
      <c r="K18" s="24">
        <f t="shared" si="1"/>
        <v>0</v>
      </c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</row>
    <row r="19" spans="2:23">
      <c r="B19" s="158" t="s">
        <v>36</v>
      </c>
      <c r="C19" s="153"/>
      <c r="D19" s="159"/>
      <c r="E19" s="153"/>
      <c r="F19" s="153"/>
      <c r="G19" s="153"/>
      <c r="H19" s="153"/>
      <c r="I19" s="153"/>
      <c r="J19" s="153"/>
      <c r="K19" s="153"/>
    </row>
    <row r="20" spans="2:23">
      <c r="B20" s="160"/>
      <c r="C20" s="9"/>
      <c r="D20" s="10"/>
      <c r="E20" s="21"/>
      <c r="F20" s="21"/>
      <c r="G20" s="26"/>
      <c r="H20" s="21"/>
      <c r="I20" s="21"/>
      <c r="J20" s="26"/>
      <c r="K20" s="26"/>
      <c r="L20" s="17"/>
    </row>
    <row r="21" spans="2:23" ht="14.45" customHeight="1">
      <c r="B21" s="160"/>
      <c r="C21" s="11"/>
      <c r="D21" s="12"/>
      <c r="E21" s="22"/>
      <c r="F21" s="22"/>
      <c r="G21" s="27"/>
      <c r="H21" s="22"/>
      <c r="I21" s="22"/>
      <c r="J21" s="27"/>
      <c r="K21" s="27"/>
      <c r="L21" s="17"/>
      <c r="N21" s="2" t="s">
        <v>141</v>
      </c>
      <c r="P21" s="2" t="s">
        <v>142</v>
      </c>
    </row>
    <row r="22" spans="2:23" ht="18" customHeight="1">
      <c r="B22" s="160"/>
      <c r="C22" s="11"/>
      <c r="D22" s="12"/>
      <c r="E22" s="22"/>
      <c r="F22" s="22"/>
      <c r="G22" s="27"/>
      <c r="H22" s="22"/>
      <c r="I22" s="22"/>
      <c r="J22" s="27"/>
      <c r="K22" s="27"/>
      <c r="L22" s="17"/>
      <c r="N22" s="200">
        <v>127932</v>
      </c>
      <c r="P22" s="2" t="s">
        <v>144</v>
      </c>
    </row>
    <row r="23" spans="2:23">
      <c r="B23" s="160"/>
      <c r="C23" s="11"/>
      <c r="D23" s="12"/>
      <c r="E23" s="22"/>
      <c r="F23" s="22"/>
      <c r="G23" s="27"/>
      <c r="H23" s="22"/>
      <c r="I23" s="22"/>
      <c r="J23" s="27"/>
      <c r="K23" s="27"/>
      <c r="L23" s="17"/>
      <c r="N23" s="2" t="s">
        <v>146</v>
      </c>
      <c r="P23" s="2" t="s">
        <v>147</v>
      </c>
    </row>
    <row r="24" spans="2:23">
      <c r="B24" s="160"/>
      <c r="C24" s="11"/>
      <c r="D24" s="12"/>
      <c r="E24" s="22"/>
      <c r="F24" s="22"/>
      <c r="G24" s="27"/>
      <c r="H24" s="22"/>
      <c r="I24" s="22"/>
      <c r="J24" s="27"/>
      <c r="K24" s="27"/>
      <c r="L24" s="17"/>
      <c r="N24" s="2" t="s">
        <v>149</v>
      </c>
      <c r="P24" s="2" t="s">
        <v>150</v>
      </c>
    </row>
    <row r="25" spans="2:23">
      <c r="B25" s="160"/>
      <c r="C25" s="11"/>
      <c r="D25" s="12"/>
      <c r="E25" s="22"/>
      <c r="F25" s="22"/>
      <c r="G25" s="27"/>
      <c r="H25" s="22"/>
      <c r="I25" s="22"/>
      <c r="J25" s="27"/>
      <c r="K25" s="27"/>
      <c r="L25" s="17"/>
      <c r="N25" s="2" t="s">
        <v>152</v>
      </c>
      <c r="P25" s="2" t="s">
        <v>153</v>
      </c>
    </row>
    <row r="26" spans="2:23">
      <c r="B26" s="160"/>
      <c r="C26" s="11"/>
      <c r="D26" s="12"/>
      <c r="E26" s="22"/>
      <c r="F26" s="22"/>
      <c r="G26" s="27"/>
      <c r="H26" s="22"/>
      <c r="I26" s="22"/>
      <c r="J26" s="27"/>
      <c r="K26" s="27"/>
      <c r="L26" s="17"/>
      <c r="N26" s="2" t="s">
        <v>155</v>
      </c>
      <c r="P26" s="2" t="s">
        <v>156</v>
      </c>
    </row>
    <row r="27" spans="2:23">
      <c r="B27" s="160"/>
      <c r="C27" s="13"/>
      <c r="D27" s="14"/>
      <c r="E27" s="23"/>
      <c r="F27" s="23"/>
      <c r="G27" s="28"/>
      <c r="H27" s="23"/>
      <c r="I27" s="23"/>
      <c r="J27" s="28"/>
      <c r="K27" s="28"/>
      <c r="L27" s="17"/>
    </row>
    <row r="28" spans="2:23">
      <c r="B28" s="163"/>
      <c r="C28" s="5" t="s">
        <v>31</v>
      </c>
      <c r="D28" s="5"/>
      <c r="E28" s="20">
        <f t="shared" ref="E28:K28" si="2">SUM(E20:E27)</f>
        <v>0</v>
      </c>
      <c r="F28" s="20">
        <f t="shared" si="2"/>
        <v>0</v>
      </c>
      <c r="G28" s="20">
        <f t="shared" si="2"/>
        <v>0</v>
      </c>
      <c r="H28" s="20">
        <f t="shared" si="2"/>
        <v>0</v>
      </c>
      <c r="I28" s="20">
        <f t="shared" si="2"/>
        <v>0</v>
      </c>
      <c r="J28" s="20">
        <f t="shared" si="2"/>
        <v>0</v>
      </c>
      <c r="K28" s="20">
        <f t="shared" si="2"/>
        <v>0</v>
      </c>
      <c r="L28" s="17"/>
    </row>
    <row r="29" spans="2:23">
      <c r="B29" s="6" t="s">
        <v>40</v>
      </c>
      <c r="C29" s="4"/>
      <c r="D29" s="5"/>
      <c r="E29" s="20"/>
      <c r="F29" s="20"/>
      <c r="G29" s="20"/>
      <c r="H29" s="20"/>
      <c r="I29" s="20"/>
      <c r="J29" s="20"/>
      <c r="K29" s="20"/>
    </row>
    <row r="30" spans="2:23">
      <c r="B30" s="7"/>
      <c r="C30" s="9"/>
      <c r="D30" s="10"/>
      <c r="E30" s="21"/>
      <c r="F30" s="21"/>
      <c r="G30" s="26">
        <f>SUM(E30:F30)</f>
        <v>0</v>
      </c>
      <c r="H30" s="21"/>
      <c r="I30" s="21"/>
      <c r="J30" s="26">
        <f>SUM(H30:I30)</f>
        <v>0</v>
      </c>
      <c r="K30" s="26">
        <f>SUM(G30,J30)</f>
        <v>0</v>
      </c>
    </row>
    <row r="31" spans="2:23">
      <c r="B31" s="7"/>
      <c r="C31" s="11"/>
      <c r="D31" s="12"/>
      <c r="E31" s="22"/>
      <c r="F31" s="22"/>
      <c r="G31" s="27">
        <f>SUM(E31:F31)</f>
        <v>0</v>
      </c>
      <c r="H31" s="22"/>
      <c r="I31" s="22"/>
      <c r="J31" s="27">
        <f>SUM(H31:I31)</f>
        <v>0</v>
      </c>
      <c r="K31" s="27">
        <f>SUM(G31,J31)</f>
        <v>0</v>
      </c>
    </row>
    <row r="32" spans="2:23">
      <c r="B32" s="7"/>
      <c r="C32" s="11"/>
      <c r="D32" s="12"/>
      <c r="E32" s="22"/>
      <c r="F32" s="22"/>
      <c r="G32" s="27">
        <f>SUM(E32:F32)</f>
        <v>0</v>
      </c>
      <c r="H32" s="22"/>
      <c r="I32" s="22"/>
      <c r="J32" s="27">
        <f>SUM(H32:I32)</f>
        <v>0</v>
      </c>
      <c r="K32" s="27">
        <f>SUM(G32,J32)</f>
        <v>0</v>
      </c>
    </row>
    <row r="33" spans="2:15">
      <c r="B33" s="7"/>
      <c r="C33" s="13"/>
      <c r="D33" s="14"/>
      <c r="E33" s="23"/>
      <c r="F33" s="23"/>
      <c r="G33" s="28">
        <f>SUM(E33:F33)</f>
        <v>0</v>
      </c>
      <c r="H33" s="23"/>
      <c r="I33" s="23"/>
      <c r="J33" s="28">
        <f>SUM(H33:I33)</f>
        <v>0</v>
      </c>
      <c r="K33" s="28">
        <f>SUM(G33,J33)</f>
        <v>0</v>
      </c>
    </row>
    <row r="34" spans="2:15">
      <c r="B34" s="8"/>
      <c r="C34" s="5" t="s">
        <v>31</v>
      </c>
      <c r="D34" s="5"/>
      <c r="E34" s="20">
        <f t="shared" ref="E34:K34" si="3">SUM(E30:E33)</f>
        <v>0</v>
      </c>
      <c r="F34" s="20">
        <f t="shared" si="3"/>
        <v>0</v>
      </c>
      <c r="G34" s="20">
        <f t="shared" si="3"/>
        <v>0</v>
      </c>
      <c r="H34" s="20">
        <f t="shared" si="3"/>
        <v>0</v>
      </c>
      <c r="I34" s="20">
        <f t="shared" si="3"/>
        <v>0</v>
      </c>
      <c r="J34" s="20">
        <f t="shared" si="3"/>
        <v>0</v>
      </c>
      <c r="K34" s="20">
        <f t="shared" si="3"/>
        <v>0</v>
      </c>
    </row>
    <row r="35" spans="2:15">
      <c r="B35" s="4"/>
      <c r="C35" s="5" t="s">
        <v>16</v>
      </c>
      <c r="D35" s="5"/>
      <c r="E35" s="20">
        <f t="shared" ref="E35:K35" si="4">SUM(E12,E18,E28,E34)</f>
        <v>6500</v>
      </c>
      <c r="F35" s="20">
        <f t="shared" si="4"/>
        <v>7600</v>
      </c>
      <c r="G35" s="20">
        <f t="shared" si="4"/>
        <v>14100</v>
      </c>
      <c r="H35" s="20">
        <f t="shared" si="4"/>
        <v>7200</v>
      </c>
      <c r="I35" s="20">
        <f t="shared" si="4"/>
        <v>7200</v>
      </c>
      <c r="J35" s="20">
        <f t="shared" si="4"/>
        <v>14400</v>
      </c>
      <c r="K35" s="20">
        <f t="shared" si="4"/>
        <v>28500</v>
      </c>
    </row>
    <row r="36" spans="2:15">
      <c r="H36" s="2"/>
    </row>
    <row r="37" spans="2:15">
      <c r="B37" s="2" t="s">
        <v>41</v>
      </c>
      <c r="O37" s="182"/>
    </row>
    <row r="38" spans="2:15" ht="18.75" customHeight="1">
      <c r="B38" s="16"/>
      <c r="C38" s="385" t="s">
        <v>42</v>
      </c>
      <c r="D38" s="386"/>
      <c r="E38" s="25">
        <v>5</v>
      </c>
      <c r="F38" s="25">
        <v>5</v>
      </c>
      <c r="G38" s="20">
        <f>AVERAGE(E38:F38)</f>
        <v>5</v>
      </c>
      <c r="H38" s="25">
        <v>5</v>
      </c>
      <c r="I38" s="25">
        <v>5</v>
      </c>
      <c r="J38" s="20">
        <f>AVERAGE(H38:I38)</f>
        <v>5</v>
      </c>
      <c r="K38" s="20">
        <f>AVERAGE(G38,J38)</f>
        <v>5</v>
      </c>
    </row>
    <row r="39" spans="2:15" ht="18.75" customHeight="1">
      <c r="B39" s="16"/>
      <c r="C39" s="385" t="s">
        <v>43</v>
      </c>
      <c r="D39" s="386"/>
      <c r="E39" s="20">
        <f>IF(E38&lt;&gt;0,E35/E38,0)</f>
        <v>1300</v>
      </c>
      <c r="F39" s="20">
        <f>IF(F38&lt;&gt;0,F35/F38,0)</f>
        <v>1520</v>
      </c>
      <c r="G39" s="20">
        <f>SUM(E39:F39)</f>
        <v>2820</v>
      </c>
      <c r="H39" s="20">
        <f>IF(H38&lt;&gt;0,H35/H38,0)</f>
        <v>1440</v>
      </c>
      <c r="I39" s="20">
        <f>IF(I38&lt;&gt;0,I35/I38,0)</f>
        <v>1440</v>
      </c>
      <c r="J39" s="20">
        <f>SUM(H39:I39)</f>
        <v>2880</v>
      </c>
      <c r="K39" s="20">
        <f>SUM(G39,J39)</f>
        <v>5700</v>
      </c>
    </row>
    <row r="40" spans="2:15" ht="18.75" customHeight="1">
      <c r="B40" s="16"/>
      <c r="C40" s="385" t="s">
        <v>44</v>
      </c>
      <c r="D40" s="386"/>
      <c r="E40" s="20">
        <f>E39/3</f>
        <v>433.33333333333331</v>
      </c>
      <c r="F40" s="20">
        <f>F39/3</f>
        <v>506.66666666666669</v>
      </c>
      <c r="G40" s="20">
        <f>G39/6</f>
        <v>470</v>
      </c>
      <c r="H40" s="20">
        <f>H39/3</f>
        <v>480</v>
      </c>
      <c r="I40" s="20">
        <f>I39/3</f>
        <v>480</v>
      </c>
      <c r="J40" s="20">
        <f>J39/6</f>
        <v>480</v>
      </c>
      <c r="K40" s="20">
        <f>K39/12</f>
        <v>475</v>
      </c>
    </row>
    <row r="45" spans="2:15">
      <c r="N45" s="99"/>
      <c r="O45" s="99"/>
    </row>
    <row r="46" spans="2:15">
      <c r="M46" s="17"/>
    </row>
  </sheetData>
  <mergeCells count="3">
    <mergeCell ref="C38:D38"/>
    <mergeCell ref="C39:D39"/>
    <mergeCell ref="C40:D40"/>
  </mergeCells>
  <phoneticPr fontId="2"/>
  <pageMargins left="0.23622047244094491" right="0.23622047244094491" top="0.74803149606299213" bottom="0.74803149606299213" header="0.31496062992125978" footer="0.31496062992125978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4"/>
  <sheetViews>
    <sheetView showGridLines="0" view="pageBreakPreview" zoomScale="80" zoomScaleNormal="100" zoomScaleSheetLayoutView="80" workbookViewId="0">
      <selection activeCell="K26" sqref="K19:K26"/>
    </sheetView>
  </sheetViews>
  <sheetFormatPr defaultColWidth="8.75" defaultRowHeight="14.25"/>
  <cols>
    <col min="1" max="1" width="3.75" style="2" customWidth="1"/>
    <col min="2" max="2" width="3.125" style="2" customWidth="1"/>
    <col min="3" max="3" width="25.125" style="2" customWidth="1"/>
    <col min="4" max="4" width="9.25" style="3" customWidth="1"/>
    <col min="5" max="11" width="8.75" style="17" customWidth="1"/>
    <col min="12" max="13" width="8.75" style="2" customWidth="1"/>
    <col min="14" max="16384" width="8.75" style="2"/>
  </cols>
  <sheetData>
    <row r="1" spans="1:11">
      <c r="A1" s="2" t="s">
        <v>0</v>
      </c>
    </row>
    <row r="2" spans="1:11">
      <c r="B2" s="3" t="s">
        <v>1</v>
      </c>
      <c r="C2" s="2" t="s">
        <v>82</v>
      </c>
      <c r="K2" s="18" t="s">
        <v>3</v>
      </c>
    </row>
    <row r="3" spans="1:11">
      <c r="B3" s="2" t="s">
        <v>4</v>
      </c>
      <c r="E3" s="18" t="s">
        <v>5</v>
      </c>
      <c r="F3" s="18" t="s">
        <v>6</v>
      </c>
      <c r="G3" s="18"/>
      <c r="H3" s="18" t="s">
        <v>7</v>
      </c>
      <c r="I3" s="18" t="s">
        <v>8</v>
      </c>
    </row>
    <row r="4" spans="1:11">
      <c r="B4" s="4" t="s">
        <v>9</v>
      </c>
      <c r="C4" s="4"/>
      <c r="D4" s="5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15</v>
      </c>
      <c r="J4" s="19" t="s">
        <v>13</v>
      </c>
      <c r="K4" s="19" t="s">
        <v>16</v>
      </c>
    </row>
    <row r="5" spans="1:11">
      <c r="B5" s="6" t="s">
        <v>17</v>
      </c>
      <c r="C5" s="4"/>
      <c r="D5" s="5"/>
      <c r="E5" s="20"/>
      <c r="F5" s="20"/>
      <c r="G5" s="20"/>
      <c r="H5" s="20"/>
      <c r="I5" s="20"/>
      <c r="J5" s="20"/>
      <c r="K5" s="20"/>
    </row>
    <row r="6" spans="1:11">
      <c r="B6" s="7"/>
      <c r="C6" s="9" t="s">
        <v>162</v>
      </c>
      <c r="D6" s="10" t="s">
        <v>19</v>
      </c>
      <c r="E6" s="145">
        <v>20400</v>
      </c>
      <c r="F6" s="145">
        <v>20400</v>
      </c>
      <c r="G6" s="146">
        <v>40800</v>
      </c>
      <c r="H6" s="145">
        <v>20400</v>
      </c>
      <c r="I6" s="145">
        <v>20400</v>
      </c>
      <c r="J6" s="146">
        <v>40800</v>
      </c>
      <c r="K6" s="146">
        <v>81600</v>
      </c>
    </row>
    <row r="7" spans="1:11">
      <c r="B7" s="7"/>
      <c r="C7" s="11" t="s">
        <v>163</v>
      </c>
      <c r="D7" s="12" t="s">
        <v>26</v>
      </c>
      <c r="E7" s="147">
        <v>1020</v>
      </c>
      <c r="F7" s="147">
        <v>1020</v>
      </c>
      <c r="G7" s="148">
        <v>2040</v>
      </c>
      <c r="H7" s="147">
        <v>1020</v>
      </c>
      <c r="I7" s="147">
        <v>1020</v>
      </c>
      <c r="J7" s="148">
        <v>2040</v>
      </c>
      <c r="K7" s="148">
        <v>4080</v>
      </c>
    </row>
    <row r="8" spans="1:11">
      <c r="B8" s="7"/>
      <c r="C8" s="362" t="s">
        <v>30</v>
      </c>
      <c r="D8" s="12" t="s">
        <v>26</v>
      </c>
      <c r="E8" s="149">
        <v>80</v>
      </c>
      <c r="F8" s="149">
        <v>80</v>
      </c>
      <c r="G8" s="148">
        <v>160</v>
      </c>
      <c r="H8" s="149">
        <v>80</v>
      </c>
      <c r="I8" s="149">
        <v>80</v>
      </c>
      <c r="J8" s="148">
        <f>SUM(H8:I8)</f>
        <v>160</v>
      </c>
      <c r="K8" s="148">
        <f>G8+J8</f>
        <v>320</v>
      </c>
    </row>
    <row r="9" spans="1:11">
      <c r="B9" s="7"/>
      <c r="C9" s="13"/>
      <c r="D9" s="14"/>
      <c r="E9" s="151"/>
      <c r="F9" s="151"/>
      <c r="G9" s="152">
        <v>0</v>
      </c>
      <c r="H9" s="151"/>
      <c r="I9" s="151"/>
      <c r="J9" s="152">
        <v>0</v>
      </c>
      <c r="K9" s="152">
        <v>0</v>
      </c>
    </row>
    <row r="10" spans="1:11">
      <c r="B10" s="8"/>
      <c r="C10" s="5" t="s">
        <v>31</v>
      </c>
      <c r="D10" s="5"/>
      <c r="E10" s="144">
        <f t="shared" ref="E10:K10" si="0">SUM(E6:E9)</f>
        <v>21500</v>
      </c>
      <c r="F10" s="144">
        <f t="shared" si="0"/>
        <v>21500</v>
      </c>
      <c r="G10" s="144">
        <f t="shared" si="0"/>
        <v>43000</v>
      </c>
      <c r="H10" s="144">
        <f t="shared" si="0"/>
        <v>21500</v>
      </c>
      <c r="I10" s="144">
        <f t="shared" si="0"/>
        <v>21500</v>
      </c>
      <c r="J10" s="144">
        <f t="shared" si="0"/>
        <v>43000</v>
      </c>
      <c r="K10" s="144">
        <f t="shared" si="0"/>
        <v>86000</v>
      </c>
    </row>
    <row r="11" spans="1:11">
      <c r="B11" s="6" t="s">
        <v>32</v>
      </c>
      <c r="C11" s="4"/>
      <c r="D11" s="5"/>
      <c r="E11" s="153"/>
      <c r="F11" s="153"/>
      <c r="G11" s="153"/>
      <c r="H11" s="153"/>
      <c r="I11" s="153"/>
      <c r="J11" s="153"/>
      <c r="K11" s="153"/>
    </row>
    <row r="12" spans="1:11">
      <c r="B12" s="7"/>
      <c r="C12" s="9"/>
      <c r="D12" s="10"/>
      <c r="E12" s="154"/>
      <c r="F12" s="154"/>
      <c r="G12" s="155">
        <v>0</v>
      </c>
      <c r="H12" s="154"/>
      <c r="I12" s="154"/>
      <c r="J12" s="155">
        <v>0</v>
      </c>
      <c r="K12" s="155">
        <v>0</v>
      </c>
    </row>
    <row r="13" spans="1:11">
      <c r="B13" s="7"/>
      <c r="C13" s="11"/>
      <c r="D13" s="12"/>
      <c r="E13" s="149"/>
      <c r="F13" s="149"/>
      <c r="G13" s="150">
        <v>0</v>
      </c>
      <c r="H13" s="149"/>
      <c r="I13" s="149"/>
      <c r="J13" s="150">
        <v>0</v>
      </c>
      <c r="K13" s="150">
        <v>0</v>
      </c>
    </row>
    <row r="14" spans="1:11">
      <c r="B14" s="7"/>
      <c r="C14" s="11"/>
      <c r="D14" s="12"/>
      <c r="E14" s="149"/>
      <c r="F14" s="149"/>
      <c r="G14" s="150">
        <v>0</v>
      </c>
      <c r="H14" s="149"/>
      <c r="I14" s="149"/>
      <c r="J14" s="150">
        <v>0</v>
      </c>
      <c r="K14" s="150">
        <v>0</v>
      </c>
    </row>
    <row r="15" spans="1:11">
      <c r="B15" s="8"/>
      <c r="C15" s="13"/>
      <c r="D15" s="14"/>
      <c r="E15" s="151"/>
      <c r="F15" s="151"/>
      <c r="G15" s="152">
        <v>0</v>
      </c>
      <c r="H15" s="151"/>
      <c r="I15" s="151"/>
      <c r="J15" s="152">
        <v>0</v>
      </c>
      <c r="K15" s="152">
        <v>0</v>
      </c>
    </row>
    <row r="16" spans="1:11">
      <c r="B16" s="4"/>
      <c r="C16" s="5" t="s">
        <v>31</v>
      </c>
      <c r="D16" s="5"/>
      <c r="E16" s="153">
        <v>0</v>
      </c>
      <c r="F16" s="153">
        <v>0</v>
      </c>
      <c r="G16" s="153">
        <v>0</v>
      </c>
      <c r="H16" s="153">
        <v>0</v>
      </c>
      <c r="I16" s="153">
        <v>0</v>
      </c>
      <c r="J16" s="153">
        <v>0</v>
      </c>
      <c r="K16" s="153">
        <v>0</v>
      </c>
    </row>
    <row r="17" spans="2:11">
      <c r="B17" s="6" t="s">
        <v>36</v>
      </c>
      <c r="C17" s="4"/>
      <c r="D17" s="5"/>
      <c r="E17" s="153"/>
      <c r="F17" s="153"/>
      <c r="G17" s="153"/>
      <c r="H17" s="153"/>
      <c r="I17" s="153"/>
      <c r="J17" s="153"/>
      <c r="K17" s="153"/>
    </row>
    <row r="18" spans="2:11">
      <c r="B18" s="7"/>
      <c r="C18" s="9"/>
      <c r="D18" s="10"/>
      <c r="E18" s="154"/>
      <c r="F18" s="154"/>
      <c r="G18" s="155">
        <v>0</v>
      </c>
      <c r="H18" s="154"/>
      <c r="I18" s="154"/>
      <c r="J18" s="155">
        <v>0</v>
      </c>
      <c r="K18" s="155">
        <v>0</v>
      </c>
    </row>
    <row r="19" spans="2:11">
      <c r="B19" s="7"/>
      <c r="C19" s="11"/>
      <c r="D19" s="12"/>
      <c r="E19" s="149"/>
      <c r="F19" s="149"/>
      <c r="G19" s="150">
        <v>0</v>
      </c>
      <c r="H19" s="149"/>
      <c r="I19" s="149"/>
      <c r="J19" s="150">
        <v>0</v>
      </c>
      <c r="K19" s="150">
        <v>0</v>
      </c>
    </row>
    <row r="20" spans="2:11">
      <c r="B20" s="7"/>
      <c r="C20" s="11"/>
      <c r="D20" s="12"/>
      <c r="E20" s="149"/>
      <c r="F20" s="149"/>
      <c r="G20" s="150">
        <v>0</v>
      </c>
      <c r="H20" s="149"/>
      <c r="I20" s="149"/>
      <c r="J20" s="150">
        <v>0</v>
      </c>
      <c r="K20" s="150">
        <v>0</v>
      </c>
    </row>
    <row r="21" spans="2:11">
      <c r="B21" s="7"/>
      <c r="C21" s="13"/>
      <c r="D21" s="14"/>
      <c r="E21" s="151"/>
      <c r="F21" s="151"/>
      <c r="G21" s="152">
        <v>0</v>
      </c>
      <c r="H21" s="151"/>
      <c r="I21" s="151"/>
      <c r="J21" s="152">
        <v>0</v>
      </c>
      <c r="K21" s="152">
        <v>0</v>
      </c>
    </row>
    <row r="22" spans="2:11">
      <c r="B22" s="8"/>
      <c r="C22" s="5" t="s">
        <v>31</v>
      </c>
      <c r="D22" s="5"/>
      <c r="E22" s="153">
        <v>0</v>
      </c>
      <c r="F22" s="153">
        <v>0</v>
      </c>
      <c r="G22" s="153">
        <v>0</v>
      </c>
      <c r="H22" s="153">
        <v>0</v>
      </c>
      <c r="I22" s="153">
        <v>0</v>
      </c>
      <c r="J22" s="153">
        <v>0</v>
      </c>
      <c r="K22" s="153">
        <v>0</v>
      </c>
    </row>
    <row r="23" spans="2:11">
      <c r="B23" s="6" t="s">
        <v>40</v>
      </c>
      <c r="C23" s="4"/>
      <c r="D23" s="5"/>
      <c r="E23" s="153"/>
      <c r="F23" s="153"/>
      <c r="G23" s="153"/>
      <c r="H23" s="153"/>
      <c r="I23" s="153"/>
      <c r="J23" s="153"/>
      <c r="K23" s="153"/>
    </row>
    <row r="24" spans="2:11">
      <c r="B24" s="7"/>
      <c r="C24" s="9"/>
      <c r="D24" s="10"/>
      <c r="E24" s="154"/>
      <c r="F24" s="154"/>
      <c r="G24" s="155">
        <v>0</v>
      </c>
      <c r="H24" s="154"/>
      <c r="I24" s="154"/>
      <c r="J24" s="155">
        <v>0</v>
      </c>
      <c r="K24" s="155">
        <v>0</v>
      </c>
    </row>
    <row r="25" spans="2:11">
      <c r="B25" s="7"/>
      <c r="C25" s="11"/>
      <c r="D25" s="12"/>
      <c r="E25" s="149"/>
      <c r="F25" s="149"/>
      <c r="G25" s="150">
        <v>0</v>
      </c>
      <c r="H25" s="149"/>
      <c r="I25" s="149"/>
      <c r="J25" s="150">
        <v>0</v>
      </c>
      <c r="K25" s="150">
        <v>0</v>
      </c>
    </row>
    <row r="26" spans="2:11">
      <c r="B26" s="7"/>
      <c r="C26" s="11"/>
      <c r="D26" s="12"/>
      <c r="E26" s="149"/>
      <c r="F26" s="149"/>
      <c r="G26" s="150">
        <v>0</v>
      </c>
      <c r="H26" s="149"/>
      <c r="I26" s="149"/>
      <c r="J26" s="150">
        <v>0</v>
      </c>
      <c r="K26" s="150">
        <v>0</v>
      </c>
    </row>
    <row r="27" spans="2:11">
      <c r="B27" s="7"/>
      <c r="C27" s="13"/>
      <c r="D27" s="14"/>
      <c r="E27" s="151"/>
      <c r="F27" s="151"/>
      <c r="G27" s="152">
        <v>0</v>
      </c>
      <c r="H27" s="151"/>
      <c r="I27" s="151"/>
      <c r="J27" s="152">
        <v>0</v>
      </c>
      <c r="K27" s="152">
        <v>0</v>
      </c>
    </row>
    <row r="28" spans="2:11">
      <c r="B28" s="8"/>
      <c r="C28" s="5" t="s">
        <v>31</v>
      </c>
      <c r="D28" s="5"/>
      <c r="E28" s="153">
        <v>0</v>
      </c>
      <c r="F28" s="153">
        <v>0</v>
      </c>
      <c r="G28" s="153">
        <v>0</v>
      </c>
      <c r="H28" s="153">
        <v>0</v>
      </c>
      <c r="I28" s="153">
        <v>0</v>
      </c>
      <c r="J28" s="153">
        <v>0</v>
      </c>
      <c r="K28" s="153">
        <v>0</v>
      </c>
    </row>
    <row r="29" spans="2:11">
      <c r="B29" s="4"/>
      <c r="C29" s="5" t="s">
        <v>16</v>
      </c>
      <c r="D29" s="5"/>
      <c r="E29" s="144">
        <f t="shared" ref="E29:K29" si="1">SUM(E10,E16,E22,E28)</f>
        <v>21500</v>
      </c>
      <c r="F29" s="144">
        <f t="shared" si="1"/>
        <v>21500</v>
      </c>
      <c r="G29" s="144">
        <f t="shared" si="1"/>
        <v>43000</v>
      </c>
      <c r="H29" s="144">
        <f t="shared" si="1"/>
        <v>21500</v>
      </c>
      <c r="I29" s="144">
        <f t="shared" si="1"/>
        <v>21500</v>
      </c>
      <c r="J29" s="144">
        <f t="shared" si="1"/>
        <v>43000</v>
      </c>
      <c r="K29" s="144">
        <f t="shared" si="1"/>
        <v>86000</v>
      </c>
    </row>
    <row r="30" spans="2:11">
      <c r="E30" s="156"/>
      <c r="F30" s="156"/>
      <c r="G30" s="156"/>
      <c r="H30" s="156"/>
      <c r="I30" s="156"/>
      <c r="J30" s="156"/>
      <c r="K30" s="156"/>
    </row>
    <row r="31" spans="2:11">
      <c r="B31" s="2" t="s">
        <v>41</v>
      </c>
      <c r="E31" s="156"/>
      <c r="F31" s="156"/>
      <c r="G31" s="156"/>
      <c r="H31" s="156"/>
      <c r="I31" s="156"/>
      <c r="J31" s="156"/>
      <c r="K31" s="156"/>
    </row>
    <row r="32" spans="2:11" ht="18.75" customHeight="1">
      <c r="B32" s="16"/>
      <c r="C32" s="385" t="s">
        <v>42</v>
      </c>
      <c r="D32" s="386"/>
      <c r="E32" s="157">
        <v>11</v>
      </c>
      <c r="F32" s="157">
        <v>11</v>
      </c>
      <c r="G32" s="153">
        <v>11</v>
      </c>
      <c r="H32" s="157">
        <v>11</v>
      </c>
      <c r="I32" s="157">
        <v>11</v>
      </c>
      <c r="J32" s="153">
        <v>11</v>
      </c>
      <c r="K32" s="153">
        <v>11</v>
      </c>
    </row>
    <row r="33" spans="2:11" ht="18.75" customHeight="1">
      <c r="B33" s="16"/>
      <c r="C33" s="385" t="s">
        <v>43</v>
      </c>
      <c r="D33" s="386"/>
      <c r="E33" s="144">
        <f t="shared" ref="E33:K33" si="2">E29/E32</f>
        <v>1954.5454545454545</v>
      </c>
      <c r="F33" s="144">
        <f t="shared" si="2"/>
        <v>1954.5454545454545</v>
      </c>
      <c r="G33" s="144">
        <f t="shared" si="2"/>
        <v>3909.090909090909</v>
      </c>
      <c r="H33" s="144">
        <f t="shared" si="2"/>
        <v>1954.5454545454545</v>
      </c>
      <c r="I33" s="144">
        <f t="shared" si="2"/>
        <v>1954.5454545454545</v>
      </c>
      <c r="J33" s="144">
        <f t="shared" si="2"/>
        <v>3909.090909090909</v>
      </c>
      <c r="K33" s="144">
        <f t="shared" si="2"/>
        <v>7818.181818181818</v>
      </c>
    </row>
    <row r="34" spans="2:11" ht="18.75" customHeight="1">
      <c r="B34" s="16"/>
      <c r="C34" s="385" t="s">
        <v>44</v>
      </c>
      <c r="D34" s="386"/>
      <c r="E34" s="198">
        <f>E33/3</f>
        <v>651.5151515151515</v>
      </c>
      <c r="F34" s="198">
        <f>F33/3</f>
        <v>651.5151515151515</v>
      </c>
      <c r="G34" s="198">
        <f>G33/6</f>
        <v>651.5151515151515</v>
      </c>
      <c r="H34" s="198">
        <f>H33/3</f>
        <v>651.5151515151515</v>
      </c>
      <c r="I34" s="198">
        <f>I33/3</f>
        <v>651.5151515151515</v>
      </c>
      <c r="J34" s="198">
        <f>J33/6</f>
        <v>651.5151515151515</v>
      </c>
      <c r="K34" s="198">
        <f>K33/12</f>
        <v>651.5151515151515</v>
      </c>
    </row>
  </sheetData>
  <mergeCells count="3">
    <mergeCell ref="C34:D34"/>
    <mergeCell ref="C33:D33"/>
    <mergeCell ref="C32:D32"/>
  </mergeCells>
  <phoneticPr fontId="2"/>
  <pageMargins left="0.23622047244094491" right="0.23622047244094491" top="0.74803149606299213" bottom="0.74803149606299213" header="0.31496062992125978" footer="0.31496062992125978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4"/>
  <sheetViews>
    <sheetView showGridLines="0" view="pageBreakPreview" zoomScale="80" zoomScaleNormal="100" zoomScaleSheetLayoutView="80" workbookViewId="0">
      <selection activeCell="O22" sqref="O22"/>
    </sheetView>
  </sheetViews>
  <sheetFormatPr defaultColWidth="8.75" defaultRowHeight="14.25"/>
  <cols>
    <col min="1" max="1" width="3.75" style="2" customWidth="1"/>
    <col min="2" max="2" width="3.125" style="2" customWidth="1"/>
    <col min="3" max="3" width="25.125" style="2" customWidth="1"/>
    <col min="4" max="4" width="9.25" style="3" customWidth="1"/>
    <col min="5" max="11" width="8.75" style="17" customWidth="1"/>
    <col min="12" max="13" width="8.75" style="2" customWidth="1"/>
    <col min="14" max="16384" width="8.75" style="2"/>
  </cols>
  <sheetData>
    <row r="1" spans="1:11">
      <c r="A1" s="2" t="s">
        <v>0</v>
      </c>
    </row>
    <row r="2" spans="1:11">
      <c r="B2" s="3" t="s">
        <v>1</v>
      </c>
      <c r="C2" s="2" t="s">
        <v>82</v>
      </c>
      <c r="K2" s="18" t="s">
        <v>3</v>
      </c>
    </row>
    <row r="3" spans="1:11">
      <c r="B3" s="2" t="s">
        <v>4</v>
      </c>
      <c r="E3" s="18" t="s">
        <v>5</v>
      </c>
      <c r="F3" s="18" t="s">
        <v>6</v>
      </c>
      <c r="G3" s="18"/>
      <c r="H3" s="18" t="s">
        <v>7</v>
      </c>
      <c r="I3" s="18" t="s">
        <v>8</v>
      </c>
    </row>
    <row r="4" spans="1:11">
      <c r="B4" s="4" t="s">
        <v>9</v>
      </c>
      <c r="C4" s="4"/>
      <c r="D4" s="5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15</v>
      </c>
      <c r="J4" s="19" t="s">
        <v>13</v>
      </c>
      <c r="K4" s="19" t="s">
        <v>16</v>
      </c>
    </row>
    <row r="5" spans="1:11">
      <c r="B5" s="6" t="s">
        <v>17</v>
      </c>
      <c r="C5" s="4"/>
      <c r="D5" s="5"/>
      <c r="E5" s="20"/>
      <c r="F5" s="20"/>
      <c r="G5" s="20"/>
      <c r="H5" s="20"/>
      <c r="I5" s="20"/>
      <c r="J5" s="20"/>
      <c r="K5" s="20"/>
    </row>
    <row r="6" spans="1:11">
      <c r="B6" s="7"/>
      <c r="C6" s="9" t="s">
        <v>162</v>
      </c>
      <c r="D6" s="10" t="s">
        <v>19</v>
      </c>
      <c r="E6" s="145">
        <v>3897</v>
      </c>
      <c r="F6" s="145">
        <v>3897</v>
      </c>
      <c r="G6" s="146">
        <f>SUM(E6:F6)</f>
        <v>7794</v>
      </c>
      <c r="H6" s="145">
        <v>3897</v>
      </c>
      <c r="I6" s="145">
        <v>3897</v>
      </c>
      <c r="J6" s="146">
        <f>SUM(H6:I6)</f>
        <v>7794</v>
      </c>
      <c r="K6" s="146">
        <f>SUM(J6,G6)</f>
        <v>15588</v>
      </c>
    </row>
    <row r="7" spans="1:11">
      <c r="B7" s="7"/>
      <c r="C7" s="11" t="s">
        <v>30</v>
      </c>
      <c r="D7" s="12" t="s">
        <v>26</v>
      </c>
      <c r="E7" s="149">
        <v>103</v>
      </c>
      <c r="F7" s="149">
        <v>103</v>
      </c>
      <c r="G7" s="148">
        <f>SUM(E7:F7)</f>
        <v>206</v>
      </c>
      <c r="H7" s="149">
        <v>103</v>
      </c>
      <c r="I7" s="149">
        <v>103</v>
      </c>
      <c r="J7" s="148">
        <f>SUM(H7:I7)</f>
        <v>206</v>
      </c>
      <c r="K7" s="150">
        <f>SUM(J7,G7)</f>
        <v>412</v>
      </c>
    </row>
    <row r="8" spans="1:11">
      <c r="B8" s="7"/>
      <c r="C8" s="11"/>
      <c r="D8" s="12"/>
      <c r="E8" s="149"/>
      <c r="F8" s="149"/>
      <c r="G8" s="150">
        <v>0</v>
      </c>
      <c r="H8" s="149"/>
      <c r="I8" s="149"/>
      <c r="J8" s="150">
        <v>0</v>
      </c>
      <c r="K8" s="150">
        <v>0</v>
      </c>
    </row>
    <row r="9" spans="1:11">
      <c r="B9" s="7"/>
      <c r="C9" s="13"/>
      <c r="D9" s="14"/>
      <c r="E9" s="151"/>
      <c r="F9" s="151"/>
      <c r="G9" s="152">
        <v>0</v>
      </c>
      <c r="H9" s="151"/>
      <c r="I9" s="151"/>
      <c r="J9" s="152">
        <v>0</v>
      </c>
      <c r="K9" s="152">
        <v>0</v>
      </c>
    </row>
    <row r="10" spans="1:11">
      <c r="B10" s="8"/>
      <c r="C10" s="5" t="s">
        <v>31</v>
      </c>
      <c r="D10" s="5"/>
      <c r="E10" s="144">
        <f>SUM(E6:E9)</f>
        <v>4000</v>
      </c>
      <c r="F10" s="144">
        <f>SUM(F6:F9)</f>
        <v>4000</v>
      </c>
      <c r="G10" s="146">
        <f>SUM(E10:F10)</f>
        <v>8000</v>
      </c>
      <c r="H10" s="144">
        <f>SUM(H6:H9)</f>
        <v>4000</v>
      </c>
      <c r="I10" s="144">
        <f>SUM(I6:I9)</f>
        <v>4000</v>
      </c>
      <c r="J10" s="144">
        <f>SUM(H10+I10)</f>
        <v>8000</v>
      </c>
      <c r="K10" s="144">
        <f>SUM(G10,J10)</f>
        <v>16000</v>
      </c>
    </row>
    <row r="11" spans="1:11">
      <c r="B11" s="6" t="s">
        <v>32</v>
      </c>
      <c r="C11" s="4"/>
      <c r="D11" s="5"/>
      <c r="E11" s="153"/>
      <c r="F11" s="153"/>
      <c r="G11" s="153"/>
      <c r="H11" s="153"/>
      <c r="I11" s="153"/>
      <c r="J11" s="153"/>
      <c r="K11" s="153"/>
    </row>
    <row r="12" spans="1:11">
      <c r="B12" s="7"/>
      <c r="C12" s="9"/>
      <c r="D12" s="10"/>
      <c r="E12" s="154"/>
      <c r="F12" s="154"/>
      <c r="G12" s="155">
        <v>0</v>
      </c>
      <c r="H12" s="154"/>
      <c r="I12" s="154"/>
      <c r="J12" s="155">
        <v>0</v>
      </c>
      <c r="K12" s="155">
        <v>0</v>
      </c>
    </row>
    <row r="13" spans="1:11">
      <c r="B13" s="7"/>
      <c r="C13" s="11"/>
      <c r="D13" s="12"/>
      <c r="E13" s="149"/>
      <c r="F13" s="149"/>
      <c r="G13" s="150">
        <v>0</v>
      </c>
      <c r="H13" s="149"/>
      <c r="I13" s="149"/>
      <c r="J13" s="150">
        <v>0</v>
      </c>
      <c r="K13" s="150">
        <v>0</v>
      </c>
    </row>
    <row r="14" spans="1:11">
      <c r="B14" s="7"/>
      <c r="C14" s="11"/>
      <c r="D14" s="12"/>
      <c r="E14" s="149"/>
      <c r="F14" s="149"/>
      <c r="G14" s="150">
        <v>0</v>
      </c>
      <c r="H14" s="149"/>
      <c r="I14" s="149"/>
      <c r="J14" s="150">
        <v>0</v>
      </c>
      <c r="K14" s="150">
        <v>0</v>
      </c>
    </row>
    <row r="15" spans="1:11">
      <c r="B15" s="7"/>
      <c r="C15" s="13"/>
      <c r="D15" s="14"/>
      <c r="E15" s="151"/>
      <c r="F15" s="151"/>
      <c r="G15" s="152">
        <v>0</v>
      </c>
      <c r="H15" s="151"/>
      <c r="I15" s="151"/>
      <c r="J15" s="152">
        <v>0</v>
      </c>
      <c r="K15" s="152">
        <v>0</v>
      </c>
    </row>
    <row r="16" spans="1:11">
      <c r="B16" s="8"/>
      <c r="C16" s="5" t="s">
        <v>31</v>
      </c>
      <c r="D16" s="5"/>
      <c r="E16" s="153">
        <v>0</v>
      </c>
      <c r="F16" s="153">
        <v>0</v>
      </c>
      <c r="G16" s="153">
        <v>0</v>
      </c>
      <c r="H16" s="153">
        <v>0</v>
      </c>
      <c r="I16" s="153">
        <v>0</v>
      </c>
      <c r="J16" s="153">
        <v>0</v>
      </c>
      <c r="K16" s="153">
        <v>0</v>
      </c>
    </row>
    <row r="17" spans="2:11">
      <c r="B17" s="6" t="s">
        <v>36</v>
      </c>
      <c r="C17" s="4"/>
      <c r="D17" s="5"/>
      <c r="E17" s="153"/>
      <c r="F17" s="153"/>
      <c r="G17" s="153"/>
      <c r="H17" s="153"/>
      <c r="I17" s="153"/>
      <c r="J17" s="153"/>
      <c r="K17" s="153"/>
    </row>
    <row r="18" spans="2:11">
      <c r="B18" s="7"/>
      <c r="C18" s="9"/>
      <c r="D18" s="10"/>
      <c r="E18" s="154"/>
      <c r="F18" s="154"/>
      <c r="G18" s="155">
        <v>0</v>
      </c>
      <c r="H18" s="154"/>
      <c r="I18" s="154"/>
      <c r="J18" s="155">
        <v>0</v>
      </c>
      <c r="K18" s="155">
        <v>0</v>
      </c>
    </row>
    <row r="19" spans="2:11">
      <c r="B19" s="7"/>
      <c r="C19" s="86"/>
      <c r="D19" s="12"/>
      <c r="E19" s="149"/>
      <c r="F19" s="149"/>
      <c r="G19" s="150">
        <v>0</v>
      </c>
      <c r="H19" s="149"/>
      <c r="I19" s="149"/>
      <c r="J19" s="150">
        <v>0</v>
      </c>
      <c r="K19" s="150">
        <v>0</v>
      </c>
    </row>
    <row r="20" spans="2:11">
      <c r="B20" s="7"/>
      <c r="C20" s="11"/>
      <c r="D20" s="12"/>
      <c r="E20" s="149"/>
      <c r="F20" s="149"/>
      <c r="G20" s="150">
        <v>0</v>
      </c>
      <c r="H20" s="149"/>
      <c r="I20" s="149"/>
      <c r="J20" s="150">
        <v>0</v>
      </c>
      <c r="K20" s="150">
        <v>0</v>
      </c>
    </row>
    <row r="21" spans="2:11">
      <c r="B21" s="7"/>
      <c r="C21" s="13"/>
      <c r="D21" s="14"/>
      <c r="E21" s="151"/>
      <c r="F21" s="151"/>
      <c r="G21" s="152">
        <v>0</v>
      </c>
      <c r="H21" s="151"/>
      <c r="I21" s="151"/>
      <c r="J21" s="152">
        <v>0</v>
      </c>
      <c r="K21" s="152">
        <v>0</v>
      </c>
    </row>
    <row r="22" spans="2:11">
      <c r="B22" s="8"/>
      <c r="C22" s="5" t="s">
        <v>31</v>
      </c>
      <c r="D22" s="5"/>
      <c r="E22" s="153">
        <v>0</v>
      </c>
      <c r="F22" s="153">
        <v>0</v>
      </c>
      <c r="G22" s="153">
        <v>0</v>
      </c>
      <c r="H22" s="153">
        <v>0</v>
      </c>
      <c r="I22" s="153">
        <v>0</v>
      </c>
      <c r="J22" s="153">
        <v>0</v>
      </c>
      <c r="K22" s="153">
        <v>0</v>
      </c>
    </row>
    <row r="23" spans="2:11">
      <c r="B23" s="6" t="s">
        <v>40</v>
      </c>
      <c r="C23" s="4"/>
      <c r="D23" s="5"/>
      <c r="E23" s="153"/>
      <c r="F23" s="153"/>
      <c r="G23" s="153"/>
      <c r="H23" s="153"/>
      <c r="I23" s="153"/>
      <c r="J23" s="153"/>
      <c r="K23" s="153"/>
    </row>
    <row r="24" spans="2:11">
      <c r="B24" s="7"/>
      <c r="C24" s="9"/>
      <c r="D24" s="10"/>
      <c r="E24" s="154"/>
      <c r="F24" s="154"/>
      <c r="G24" s="155">
        <v>0</v>
      </c>
      <c r="H24" s="154"/>
      <c r="I24" s="154"/>
      <c r="J24" s="155">
        <v>0</v>
      </c>
      <c r="K24" s="155">
        <v>0</v>
      </c>
    </row>
    <row r="25" spans="2:11">
      <c r="B25" s="7"/>
      <c r="C25" s="11"/>
      <c r="D25" s="12"/>
      <c r="E25" s="149"/>
      <c r="F25" s="149"/>
      <c r="G25" s="150">
        <v>0</v>
      </c>
      <c r="H25" s="149"/>
      <c r="I25" s="149"/>
      <c r="J25" s="150">
        <v>0</v>
      </c>
      <c r="K25" s="150">
        <v>0</v>
      </c>
    </row>
    <row r="26" spans="2:11">
      <c r="B26" s="7"/>
      <c r="C26" s="11"/>
      <c r="D26" s="12"/>
      <c r="E26" s="149"/>
      <c r="F26" s="149"/>
      <c r="G26" s="150">
        <v>0</v>
      </c>
      <c r="H26" s="149"/>
      <c r="I26" s="149"/>
      <c r="J26" s="150">
        <v>0</v>
      </c>
      <c r="K26" s="150">
        <v>0</v>
      </c>
    </row>
    <row r="27" spans="2:11">
      <c r="B27" s="7"/>
      <c r="C27" s="13"/>
      <c r="D27" s="14"/>
      <c r="E27" s="151"/>
      <c r="F27" s="151"/>
      <c r="G27" s="152">
        <v>0</v>
      </c>
      <c r="H27" s="151"/>
      <c r="I27" s="151"/>
      <c r="J27" s="152">
        <v>0</v>
      </c>
      <c r="K27" s="152">
        <v>0</v>
      </c>
    </row>
    <row r="28" spans="2:11">
      <c r="B28" s="8"/>
      <c r="C28" s="5" t="s">
        <v>31</v>
      </c>
      <c r="D28" s="5"/>
      <c r="E28" s="153">
        <v>0</v>
      </c>
      <c r="F28" s="153">
        <v>0</v>
      </c>
      <c r="G28" s="153">
        <v>0</v>
      </c>
      <c r="H28" s="153">
        <v>0</v>
      </c>
      <c r="I28" s="153">
        <v>0</v>
      </c>
      <c r="J28" s="153">
        <v>0</v>
      </c>
      <c r="K28" s="153">
        <v>0</v>
      </c>
    </row>
    <row r="29" spans="2:11">
      <c r="B29" s="4"/>
      <c r="C29" s="5" t="s">
        <v>16</v>
      </c>
      <c r="D29" s="5"/>
      <c r="E29" s="144">
        <f>E10</f>
        <v>4000</v>
      </c>
      <c r="F29" s="144">
        <f>F10</f>
        <v>4000</v>
      </c>
      <c r="G29" s="146">
        <f>SUM(E29:F29)</f>
        <v>8000</v>
      </c>
      <c r="H29" s="144">
        <f>H10</f>
        <v>4000</v>
      </c>
      <c r="I29" s="144">
        <f>I10</f>
        <v>4000</v>
      </c>
      <c r="J29" s="144">
        <f>SUM(H29+I29)</f>
        <v>8000</v>
      </c>
      <c r="K29" s="144">
        <f>SUM(J29,G29)</f>
        <v>16000</v>
      </c>
    </row>
    <row r="30" spans="2:11">
      <c r="E30" s="156"/>
      <c r="F30" s="156"/>
      <c r="G30" s="156"/>
      <c r="H30" s="156"/>
      <c r="I30" s="156"/>
      <c r="J30" s="156"/>
      <c r="K30" s="156"/>
    </row>
    <row r="31" spans="2:11">
      <c r="B31" s="2" t="s">
        <v>41</v>
      </c>
      <c r="E31" s="156"/>
      <c r="F31" s="156"/>
      <c r="G31" s="156"/>
      <c r="H31" s="156"/>
      <c r="I31" s="156"/>
      <c r="J31" s="156"/>
      <c r="K31" s="156"/>
    </row>
    <row r="32" spans="2:11" ht="15" customHeight="1">
      <c r="B32" s="16"/>
      <c r="C32" s="385" t="s">
        <v>42</v>
      </c>
      <c r="D32" s="386"/>
      <c r="E32" s="157">
        <v>2</v>
      </c>
      <c r="F32" s="157">
        <v>2</v>
      </c>
      <c r="G32" s="153">
        <v>2</v>
      </c>
      <c r="H32" s="157">
        <v>2</v>
      </c>
      <c r="I32" s="157">
        <v>2</v>
      </c>
      <c r="J32" s="153">
        <v>2</v>
      </c>
      <c r="K32" s="153">
        <v>2</v>
      </c>
    </row>
    <row r="33" spans="2:11" ht="18.75" customHeight="1">
      <c r="B33" s="16"/>
      <c r="C33" s="385" t="s">
        <v>43</v>
      </c>
      <c r="D33" s="386"/>
      <c r="E33" s="144">
        <f t="shared" ref="E33:K33" si="0">E29/E32</f>
        <v>2000</v>
      </c>
      <c r="F33" s="144">
        <f t="shared" si="0"/>
        <v>2000</v>
      </c>
      <c r="G33" s="144">
        <f t="shared" si="0"/>
        <v>4000</v>
      </c>
      <c r="H33" s="144">
        <f t="shared" si="0"/>
        <v>2000</v>
      </c>
      <c r="I33" s="144">
        <f t="shared" si="0"/>
        <v>2000</v>
      </c>
      <c r="J33" s="144">
        <f t="shared" si="0"/>
        <v>4000</v>
      </c>
      <c r="K33" s="144">
        <f t="shared" si="0"/>
        <v>8000</v>
      </c>
    </row>
    <row r="34" spans="2:11" ht="18.75" customHeight="1">
      <c r="B34" s="16"/>
      <c r="C34" s="385" t="s">
        <v>44</v>
      </c>
      <c r="D34" s="386"/>
      <c r="E34" s="153">
        <f>E33/3</f>
        <v>666.66666666666663</v>
      </c>
      <c r="F34" s="153">
        <f>F33/3</f>
        <v>666.66666666666663</v>
      </c>
      <c r="G34" s="153">
        <f>G33/6</f>
        <v>666.66666666666663</v>
      </c>
      <c r="H34" s="153">
        <f>H33/3</f>
        <v>666.66666666666663</v>
      </c>
      <c r="I34" s="153">
        <f>I33/3</f>
        <v>666.66666666666663</v>
      </c>
      <c r="J34" s="153">
        <f>J33/6</f>
        <v>666.66666666666663</v>
      </c>
      <c r="K34" s="153">
        <f>K33/12</f>
        <v>666.66666666666663</v>
      </c>
    </row>
  </sheetData>
  <mergeCells count="3">
    <mergeCell ref="C34:D34"/>
    <mergeCell ref="C33:D33"/>
    <mergeCell ref="C32:D32"/>
  </mergeCells>
  <phoneticPr fontId="2"/>
  <pageMargins left="0.23622047244094491" right="0.23622047244094491" top="0.74803149606299213" bottom="0.74803149606299213" header="0.31496062992125978" footer="0.31496062992125978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53"/>
  <sheetViews>
    <sheetView showGridLines="0" view="pageBreakPreview" topLeftCell="A13" zoomScale="95" zoomScaleNormal="100" zoomScaleSheetLayoutView="95" workbookViewId="0">
      <selection activeCell="K26" sqref="K19:K26"/>
    </sheetView>
  </sheetViews>
  <sheetFormatPr defaultColWidth="8.75" defaultRowHeight="14.25"/>
  <cols>
    <col min="1" max="1" width="3.75" style="122" customWidth="1"/>
    <col min="2" max="2" width="3.125" style="122" customWidth="1"/>
    <col min="3" max="3" width="28.125" style="122" bestFit="1" customWidth="1"/>
    <col min="4" max="4" width="9.25" style="121" customWidth="1"/>
    <col min="5" max="5" width="11.625" style="122" bestFit="1" customWidth="1"/>
    <col min="6" max="6" width="9.125" style="122" customWidth="1"/>
    <col min="7" max="11" width="11.625" style="122" bestFit="1" customWidth="1"/>
    <col min="12" max="13" width="8.75" style="122" customWidth="1"/>
    <col min="14" max="16" width="10.5" style="122" bestFit="1" customWidth="1"/>
    <col min="17" max="22" width="11.625" style="122" bestFit="1" customWidth="1"/>
    <col min="23" max="23" width="12.75" style="122" bestFit="1" customWidth="1"/>
    <col min="24" max="24" width="10.5" style="122" bestFit="1" customWidth="1"/>
    <col min="25" max="26" width="12.75" style="122" bestFit="1" customWidth="1"/>
    <col min="27" max="27" width="12.5" style="122" bestFit="1" customWidth="1"/>
    <col min="28" max="29" width="8.75" style="122" customWidth="1"/>
    <col min="30" max="16384" width="8.75" style="122"/>
  </cols>
  <sheetData>
    <row r="1" spans="1:28">
      <c r="A1" s="2" t="s">
        <v>164</v>
      </c>
    </row>
    <row r="2" spans="1:28">
      <c r="B2" s="121" t="s">
        <v>1</v>
      </c>
      <c r="C2" s="122" t="s">
        <v>88</v>
      </c>
      <c r="K2" s="121" t="s">
        <v>3</v>
      </c>
      <c r="N2" s="120" t="s">
        <v>165</v>
      </c>
      <c r="O2" s="120"/>
      <c r="P2" s="120"/>
      <c r="Q2" s="120"/>
      <c r="R2" s="120"/>
      <c r="S2" s="120"/>
      <c r="T2" s="120"/>
      <c r="U2" s="120"/>
      <c r="V2" s="120"/>
      <c r="W2" s="120"/>
      <c r="X2" s="116"/>
      <c r="Y2" s="116"/>
      <c r="Z2" s="116"/>
      <c r="AA2" s="116"/>
    </row>
    <row r="3" spans="1:28">
      <c r="B3" s="122" t="s">
        <v>4</v>
      </c>
      <c r="E3" s="121" t="s">
        <v>5</v>
      </c>
      <c r="F3" s="121" t="s">
        <v>6</v>
      </c>
      <c r="G3" s="121"/>
      <c r="H3" s="121" t="s">
        <v>7</v>
      </c>
      <c r="I3" s="121" t="s">
        <v>8</v>
      </c>
      <c r="N3" s="120" t="s">
        <v>166</v>
      </c>
      <c r="O3" s="120"/>
      <c r="P3" s="120"/>
      <c r="Q3" s="120" t="s">
        <v>11</v>
      </c>
      <c r="R3" s="120" t="s">
        <v>12</v>
      </c>
      <c r="S3" s="120" t="s">
        <v>59</v>
      </c>
      <c r="T3" s="120" t="s">
        <v>14</v>
      </c>
      <c r="U3" s="120" t="s">
        <v>15</v>
      </c>
      <c r="V3" s="120" t="s">
        <v>59</v>
      </c>
      <c r="W3" s="120" t="s">
        <v>16</v>
      </c>
      <c r="X3" s="116"/>
      <c r="Y3" s="118" t="s">
        <v>167</v>
      </c>
      <c r="Z3" s="119">
        <v>0.05</v>
      </c>
      <c r="AA3" s="116"/>
    </row>
    <row r="4" spans="1:28">
      <c r="B4" s="124" t="s">
        <v>9</v>
      </c>
      <c r="C4" s="124"/>
      <c r="D4" s="125" t="s">
        <v>10</v>
      </c>
      <c r="E4" s="125" t="s">
        <v>11</v>
      </c>
      <c r="F4" s="125" t="s">
        <v>12</v>
      </c>
      <c r="G4" s="125" t="s">
        <v>13</v>
      </c>
      <c r="H4" s="125" t="s">
        <v>14</v>
      </c>
      <c r="I4" s="125" t="s">
        <v>15</v>
      </c>
      <c r="J4" s="125" t="s">
        <v>13</v>
      </c>
      <c r="K4" s="125" t="s">
        <v>16</v>
      </c>
      <c r="N4" s="120" t="s">
        <v>127</v>
      </c>
      <c r="O4" s="120"/>
      <c r="P4" s="120"/>
      <c r="Q4" s="120">
        <v>44470000</v>
      </c>
      <c r="R4" s="120">
        <v>41240000</v>
      </c>
      <c r="S4" s="120">
        <v>85710000</v>
      </c>
      <c r="T4" s="120">
        <v>39390000</v>
      </c>
      <c r="U4" s="120">
        <v>41800000</v>
      </c>
      <c r="V4" s="120">
        <v>81190000</v>
      </c>
      <c r="W4" s="120">
        <v>166900000</v>
      </c>
      <c r="X4" s="116"/>
      <c r="Y4" s="118">
        <v>162755000</v>
      </c>
      <c r="Z4" s="118">
        <f>Y4+(Y4*$Z$3)</f>
        <v>170892750</v>
      </c>
      <c r="AA4" s="116"/>
    </row>
    <row r="5" spans="1:28">
      <c r="B5" s="126" t="s">
        <v>17</v>
      </c>
      <c r="C5" s="124"/>
      <c r="D5" s="125"/>
      <c r="F5" s="124"/>
      <c r="G5" s="124"/>
      <c r="H5" s="124"/>
      <c r="I5" s="124"/>
      <c r="J5" s="124"/>
      <c r="K5" s="124"/>
      <c r="N5" s="120" t="s">
        <v>82</v>
      </c>
      <c r="O5" s="120"/>
      <c r="P5" s="120"/>
      <c r="Q5" s="120">
        <v>20400000</v>
      </c>
      <c r="R5" s="120">
        <v>20400000</v>
      </c>
      <c r="S5" s="120">
        <v>40800000</v>
      </c>
      <c r="T5" s="120">
        <v>20400000</v>
      </c>
      <c r="U5" s="120">
        <v>20400000</v>
      </c>
      <c r="V5" s="120">
        <v>40800000</v>
      </c>
      <c r="W5" s="120">
        <v>81600000</v>
      </c>
      <c r="X5" s="116"/>
      <c r="Y5" s="118">
        <v>81600000</v>
      </c>
      <c r="Z5" s="118">
        <f>Y5+(Y5*$Z$3)</f>
        <v>85680000</v>
      </c>
      <c r="AA5" s="116"/>
    </row>
    <row r="6" spans="1:28">
      <c r="B6" s="127"/>
      <c r="C6" s="128"/>
      <c r="D6" s="129"/>
      <c r="E6" s="131"/>
      <c r="F6" s="128"/>
      <c r="G6" s="130">
        <f>SUM(E6:F6)</f>
        <v>0</v>
      </c>
      <c r="H6" s="128"/>
      <c r="I6" s="128"/>
      <c r="J6" s="130">
        <f>SUM(H6:I6)</f>
        <v>0</v>
      </c>
      <c r="K6" s="130">
        <f>SUM(G6,J6)</f>
        <v>0</v>
      </c>
      <c r="N6" s="120" t="s">
        <v>88</v>
      </c>
      <c r="O6" s="120"/>
      <c r="P6" s="120"/>
      <c r="Q6" s="120">
        <v>15970000</v>
      </c>
      <c r="R6" s="120">
        <v>15410000</v>
      </c>
      <c r="S6" s="120">
        <v>31380000</v>
      </c>
      <c r="T6" s="120">
        <v>15410000</v>
      </c>
      <c r="U6" s="120">
        <v>15410000</v>
      </c>
      <c r="V6" s="120">
        <v>30820000</v>
      </c>
      <c r="W6" s="120">
        <v>62200000</v>
      </c>
      <c r="X6" s="116"/>
      <c r="Y6" s="118">
        <v>65619000</v>
      </c>
      <c r="Z6" s="118">
        <f>Y6+(Y6*$Z$3)</f>
        <v>68899950</v>
      </c>
      <c r="AA6" s="116"/>
    </row>
    <row r="7" spans="1:28">
      <c r="B7" s="127"/>
      <c r="C7" s="131"/>
      <c r="D7" s="132"/>
      <c r="E7" s="131"/>
      <c r="F7" s="131"/>
      <c r="G7" s="133">
        <f>SUM(E7:F7)</f>
        <v>0</v>
      </c>
      <c r="H7" s="131"/>
      <c r="I7" s="131"/>
      <c r="J7" s="133">
        <f>SUM(H7:I7)</f>
        <v>0</v>
      </c>
      <c r="K7" s="133">
        <f>SUM(G7,J7)</f>
        <v>0</v>
      </c>
      <c r="N7" s="120" t="s">
        <v>2</v>
      </c>
      <c r="O7" s="120"/>
      <c r="P7" s="120"/>
      <c r="Q7" s="120">
        <v>20800000</v>
      </c>
      <c r="R7" s="120">
        <v>22300000</v>
      </c>
      <c r="S7" s="120">
        <v>43100000</v>
      </c>
      <c r="T7" s="120">
        <v>22300000</v>
      </c>
      <c r="U7" s="120">
        <v>22300000</v>
      </c>
      <c r="V7" s="120">
        <v>44600000</v>
      </c>
      <c r="W7" s="120">
        <v>87700000</v>
      </c>
      <c r="X7" s="116"/>
      <c r="Y7" s="118">
        <v>73819000</v>
      </c>
      <c r="Z7" s="118">
        <f>Y7+(Y7*$Z$3)</f>
        <v>77509950</v>
      </c>
      <c r="AA7" s="116">
        <f>SUM(Z4:Z7)</f>
        <v>402982650</v>
      </c>
      <c r="AB7" s="122" t="s">
        <v>16</v>
      </c>
    </row>
    <row r="8" spans="1:28">
      <c r="B8" s="127"/>
      <c r="C8" s="131"/>
      <c r="D8" s="132"/>
      <c r="E8" s="131"/>
      <c r="F8" s="131"/>
      <c r="G8" s="133">
        <f>SUM(E8:F8)</f>
        <v>0</v>
      </c>
      <c r="H8" s="131"/>
      <c r="I8" s="131"/>
      <c r="J8" s="133">
        <f>SUM(H8:I8)</f>
        <v>0</v>
      </c>
      <c r="K8" s="133">
        <f>SUM(G8,J8)</f>
        <v>0</v>
      </c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 t="s">
        <v>87</v>
      </c>
      <c r="Y8" s="118">
        <v>13568000</v>
      </c>
      <c r="Z8" s="118">
        <f>Y8+(Y8*$Z$3)</f>
        <v>14246400</v>
      </c>
      <c r="AA8" s="116">
        <f>SUM(AA7,Z8)</f>
        <v>417229050</v>
      </c>
      <c r="AB8" s="122" t="s">
        <v>168</v>
      </c>
    </row>
    <row r="9" spans="1:28">
      <c r="B9" s="127"/>
      <c r="C9" s="134"/>
      <c r="D9" s="135"/>
      <c r="E9" s="134"/>
      <c r="F9" s="134"/>
      <c r="G9" s="136">
        <f>SUM(E9:F9)</f>
        <v>0</v>
      </c>
      <c r="H9" s="134"/>
      <c r="I9" s="134"/>
      <c r="J9" s="136">
        <f>SUM(H9:I9)</f>
        <v>0</v>
      </c>
      <c r="K9" s="136">
        <f>SUM(G9,J9)</f>
        <v>0</v>
      </c>
      <c r="N9" s="116" t="s">
        <v>169</v>
      </c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</row>
    <row r="10" spans="1:28">
      <c r="B10" s="137"/>
      <c r="C10" s="124" t="s">
        <v>31</v>
      </c>
      <c r="D10" s="125"/>
      <c r="E10" s="124">
        <f t="shared" ref="E10:K10" si="0">SUM(E6:E9)</f>
        <v>0</v>
      </c>
      <c r="F10" s="124">
        <f t="shared" si="0"/>
        <v>0</v>
      </c>
      <c r="G10" s="124">
        <f t="shared" si="0"/>
        <v>0</v>
      </c>
      <c r="H10" s="124">
        <f t="shared" si="0"/>
        <v>0</v>
      </c>
      <c r="I10" s="124">
        <f t="shared" si="0"/>
        <v>0</v>
      </c>
      <c r="J10" s="124">
        <f t="shared" si="0"/>
        <v>0</v>
      </c>
      <c r="K10" s="124">
        <f t="shared" si="0"/>
        <v>0</v>
      </c>
      <c r="N10" s="116" t="s">
        <v>170</v>
      </c>
      <c r="O10" s="142" t="s">
        <v>171</v>
      </c>
      <c r="P10" s="142" t="s">
        <v>172</v>
      </c>
      <c r="Q10" s="142" t="s">
        <v>173</v>
      </c>
      <c r="R10" s="142" t="s">
        <v>174</v>
      </c>
      <c r="S10" s="142" t="s">
        <v>175</v>
      </c>
      <c r="T10" s="142" t="s">
        <v>176</v>
      </c>
      <c r="U10" s="142" t="s">
        <v>177</v>
      </c>
      <c r="V10" s="142" t="s">
        <v>178</v>
      </c>
      <c r="W10" s="142" t="s">
        <v>179</v>
      </c>
      <c r="X10" s="142" t="s">
        <v>180</v>
      </c>
      <c r="Y10" s="142" t="s">
        <v>181</v>
      </c>
      <c r="Z10" s="142" t="s">
        <v>182</v>
      </c>
      <c r="AA10" s="142" t="s">
        <v>16</v>
      </c>
    </row>
    <row r="11" spans="1:28">
      <c r="B11" s="126" t="s">
        <v>32</v>
      </c>
      <c r="C11" s="124"/>
      <c r="D11" s="125"/>
      <c r="E11" s="124"/>
      <c r="F11" s="124"/>
      <c r="G11" s="124"/>
      <c r="H11" s="124"/>
      <c r="I11" s="124"/>
      <c r="J11" s="124"/>
      <c r="K11" s="124"/>
      <c r="N11" s="116" t="s">
        <v>116</v>
      </c>
      <c r="O11" s="116">
        <v>5895667</v>
      </c>
      <c r="P11" s="116">
        <v>5895667</v>
      </c>
      <c r="Q11" s="116">
        <v>5895667</v>
      </c>
      <c r="R11" s="116">
        <v>5895667</v>
      </c>
      <c r="S11" s="116">
        <v>5895667</v>
      </c>
      <c r="T11" s="116">
        <v>5895667</v>
      </c>
      <c r="U11" s="116">
        <v>6066667</v>
      </c>
      <c r="V11" s="116">
        <v>6066667</v>
      </c>
      <c r="W11" s="116">
        <v>6066667</v>
      </c>
      <c r="X11" s="116">
        <v>6033333</v>
      </c>
      <c r="Y11" s="116">
        <v>6033333</v>
      </c>
      <c r="Z11" s="116">
        <v>6033333</v>
      </c>
      <c r="AA11" s="116">
        <f>SUM(O11:Z11)</f>
        <v>71674002</v>
      </c>
    </row>
    <row r="12" spans="1:28">
      <c r="B12" s="127"/>
      <c r="C12" s="128" t="s">
        <v>183</v>
      </c>
      <c r="D12" s="129" t="s">
        <v>34</v>
      </c>
      <c r="E12" s="128">
        <f>O42+P42+Q42</f>
        <v>19366</v>
      </c>
      <c r="F12" s="128">
        <f>R42+S42+T42</f>
        <v>17024</v>
      </c>
      <c r="G12" s="130">
        <f>SUM(E12:F12)</f>
        <v>36390</v>
      </c>
      <c r="H12" s="128">
        <f>U42+V42+W42</f>
        <v>16562</v>
      </c>
      <c r="I12" s="128">
        <f>X42+Y42+Z42</f>
        <v>18937</v>
      </c>
      <c r="J12" s="130">
        <f>SUM(H12:I12)</f>
        <v>35499</v>
      </c>
      <c r="K12" s="130">
        <f>SUM(G12,J12)</f>
        <v>71889</v>
      </c>
      <c r="N12" s="116" t="s">
        <v>184</v>
      </c>
      <c r="O12" s="116">
        <v>6622058</v>
      </c>
      <c r="P12" s="116">
        <v>5878822</v>
      </c>
      <c r="Q12" s="116">
        <v>5943087</v>
      </c>
      <c r="R12" s="116">
        <v>5602205</v>
      </c>
      <c r="S12" s="116">
        <v>5392646</v>
      </c>
      <c r="T12" s="116">
        <v>5219410</v>
      </c>
      <c r="U12" s="116">
        <v>5333969</v>
      </c>
      <c r="V12" s="116">
        <v>5043381</v>
      </c>
      <c r="W12" s="116">
        <v>5395440</v>
      </c>
      <c r="X12" s="116">
        <v>5725147</v>
      </c>
      <c r="Y12" s="116">
        <v>6155059</v>
      </c>
      <c r="Z12" s="116">
        <v>6155059</v>
      </c>
      <c r="AA12" s="116">
        <f>SUM(O12:Z12)</f>
        <v>68466283</v>
      </c>
    </row>
    <row r="13" spans="1:28">
      <c r="B13" s="127"/>
      <c r="C13" s="131" t="s">
        <v>185</v>
      </c>
      <c r="D13" s="132" t="s">
        <v>26</v>
      </c>
      <c r="E13" s="131">
        <f>O44+P44+Q44</f>
        <v>714</v>
      </c>
      <c r="F13" s="131">
        <f>R44+S44+T44</f>
        <v>714</v>
      </c>
      <c r="G13" s="133">
        <f>SUM(E13:F13)</f>
        <v>1428</v>
      </c>
      <c r="H13" s="131">
        <f>U44+V44+W44+U46+V46+W46</f>
        <v>714</v>
      </c>
      <c r="I13" s="131">
        <f>X44+Y44+Z44+X46+Y46+Z46</f>
        <v>714</v>
      </c>
      <c r="J13" s="133">
        <f>SUM(H13:I13)</f>
        <v>1428</v>
      </c>
      <c r="K13" s="133">
        <f>SUM(G13,J13)</f>
        <v>2856</v>
      </c>
      <c r="N13" s="116" t="s">
        <v>129</v>
      </c>
      <c r="O13" s="116">
        <v>6622058</v>
      </c>
      <c r="P13" s="116">
        <v>5878822</v>
      </c>
      <c r="Q13" s="116">
        <v>5943087</v>
      </c>
      <c r="R13" s="116">
        <v>5602205</v>
      </c>
      <c r="S13" s="116">
        <v>5392646</v>
      </c>
      <c r="T13" s="116">
        <v>5219410</v>
      </c>
      <c r="U13" s="116">
        <v>5333969</v>
      </c>
      <c r="V13" s="116">
        <v>5043381</v>
      </c>
      <c r="W13" s="116">
        <v>5395440</v>
      </c>
      <c r="X13" s="116">
        <v>5725147</v>
      </c>
      <c r="Y13" s="116">
        <v>6155059</v>
      </c>
      <c r="Z13" s="116">
        <v>6155059</v>
      </c>
      <c r="AA13" s="116">
        <f>SUM(O13:Z13)</f>
        <v>68466283</v>
      </c>
    </row>
    <row r="14" spans="1:28">
      <c r="B14" s="127"/>
      <c r="C14" s="131" t="s">
        <v>186</v>
      </c>
      <c r="D14" s="132" t="s">
        <v>26</v>
      </c>
      <c r="E14" s="131"/>
      <c r="F14" s="131"/>
      <c r="G14" s="133">
        <f>SUM(E14:F14)</f>
        <v>0</v>
      </c>
      <c r="H14" s="131">
        <f>SUM(U51:W51)</f>
        <v>513</v>
      </c>
      <c r="I14" s="131">
        <f>SUM(X51:Z51)</f>
        <v>513</v>
      </c>
      <c r="J14" s="133">
        <f>SUM(H14:I14)</f>
        <v>1026</v>
      </c>
      <c r="K14" s="133">
        <f>SUM(G14,J14)</f>
        <v>1026</v>
      </c>
      <c r="N14" s="116" t="s">
        <v>187</v>
      </c>
      <c r="O14" s="116">
        <f t="shared" ref="O14:Z14" si="1">O13-O11</f>
        <v>726391</v>
      </c>
      <c r="P14" s="116">
        <f t="shared" si="1"/>
        <v>-16845</v>
      </c>
      <c r="Q14" s="116">
        <f t="shared" si="1"/>
        <v>47420</v>
      </c>
      <c r="R14" s="116">
        <f t="shared" si="1"/>
        <v>-293462</v>
      </c>
      <c r="S14" s="116">
        <f t="shared" si="1"/>
        <v>-503021</v>
      </c>
      <c r="T14" s="116">
        <f t="shared" si="1"/>
        <v>-676257</v>
      </c>
      <c r="U14" s="116">
        <f t="shared" si="1"/>
        <v>-732698</v>
      </c>
      <c r="V14" s="116">
        <f t="shared" si="1"/>
        <v>-1023286</v>
      </c>
      <c r="W14" s="116">
        <f t="shared" si="1"/>
        <v>-671227</v>
      </c>
      <c r="X14" s="116">
        <f t="shared" si="1"/>
        <v>-308186</v>
      </c>
      <c r="Y14" s="116">
        <f t="shared" si="1"/>
        <v>121726</v>
      </c>
      <c r="Z14" s="116">
        <f t="shared" si="1"/>
        <v>121726</v>
      </c>
      <c r="AA14" s="116">
        <f>SUM(O14:Z14)</f>
        <v>-3207719</v>
      </c>
    </row>
    <row r="15" spans="1:28">
      <c r="B15" s="127"/>
      <c r="C15" s="131" t="s">
        <v>188</v>
      </c>
      <c r="D15" s="132" t="s">
        <v>26</v>
      </c>
      <c r="E15" s="131">
        <v>390</v>
      </c>
      <c r="F15" s="131">
        <v>390</v>
      </c>
      <c r="G15" s="133">
        <f>SUM(E15:F15)</f>
        <v>780</v>
      </c>
      <c r="H15" s="131">
        <v>390</v>
      </c>
      <c r="I15" s="131">
        <v>390</v>
      </c>
      <c r="J15" s="133">
        <f>SUM(H15:I15)</f>
        <v>780</v>
      </c>
      <c r="K15" s="133">
        <f>SUM(G15,J15)</f>
        <v>1560</v>
      </c>
      <c r="N15" s="116" t="s">
        <v>189</v>
      </c>
      <c r="O15" s="116">
        <v>-132911</v>
      </c>
      <c r="P15" s="116">
        <v>-382685</v>
      </c>
      <c r="Q15" s="116">
        <v>173497</v>
      </c>
      <c r="R15" s="116">
        <v>344931</v>
      </c>
      <c r="S15" s="116">
        <v>78919</v>
      </c>
      <c r="T15" s="116">
        <v>110887</v>
      </c>
      <c r="U15" s="116">
        <v>-372736</v>
      </c>
      <c r="V15" s="116">
        <v>-197720</v>
      </c>
      <c r="W15" s="116">
        <v>-73342</v>
      </c>
      <c r="X15" s="116">
        <v>440029</v>
      </c>
      <c r="Y15" s="116">
        <v>87021</v>
      </c>
      <c r="Z15" s="116">
        <v>799097</v>
      </c>
      <c r="AA15" s="116">
        <v>874987</v>
      </c>
    </row>
    <row r="16" spans="1:28" s="2" customFormat="1">
      <c r="B16" s="160"/>
      <c r="C16" s="13" t="s">
        <v>30</v>
      </c>
      <c r="D16" s="14" t="s">
        <v>26</v>
      </c>
      <c r="E16" s="151">
        <v>86</v>
      </c>
      <c r="F16" s="151">
        <v>86</v>
      </c>
      <c r="G16" s="133">
        <f>SUM(E16:F16)</f>
        <v>172</v>
      </c>
      <c r="H16" s="151">
        <v>173</v>
      </c>
      <c r="I16" s="151">
        <v>73</v>
      </c>
      <c r="J16" s="133">
        <f>SUM(H16:I16)</f>
        <v>246</v>
      </c>
      <c r="K16" s="133">
        <f>SUM(G16,J16)</f>
        <v>418</v>
      </c>
      <c r="L16" s="17"/>
    </row>
    <row r="17" spans="2:29">
      <c r="B17" s="137"/>
      <c r="C17" s="124" t="s">
        <v>31</v>
      </c>
      <c r="D17" s="125"/>
      <c r="E17" s="124">
        <v>19366</v>
      </c>
      <c r="F17" s="124">
        <v>17024</v>
      </c>
      <c r="G17" s="124">
        <f>E17+F17</f>
        <v>36390</v>
      </c>
      <c r="H17" s="124">
        <v>16562</v>
      </c>
      <c r="I17" s="124">
        <v>18937</v>
      </c>
      <c r="J17" s="124">
        <f>H17+I17</f>
        <v>35499</v>
      </c>
      <c r="K17" s="124">
        <f>G17+J17</f>
        <v>71889</v>
      </c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</row>
    <row r="18" spans="2:29">
      <c r="B18" s="126" t="s">
        <v>36</v>
      </c>
      <c r="C18" s="124"/>
      <c r="D18" s="125"/>
      <c r="E18" s="124"/>
      <c r="F18" s="124"/>
      <c r="G18" s="124"/>
      <c r="H18" s="124"/>
      <c r="I18" s="124"/>
      <c r="J18" s="124"/>
      <c r="K18" s="124"/>
      <c r="N18" s="116" t="s">
        <v>190</v>
      </c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</row>
    <row r="19" spans="2:29">
      <c r="B19" s="127"/>
      <c r="C19" s="128"/>
      <c r="D19" s="129"/>
      <c r="E19" s="128"/>
      <c r="F19" s="128"/>
      <c r="G19" s="130">
        <f>SUM(E19:F19)</f>
        <v>0</v>
      </c>
      <c r="H19" s="128"/>
      <c r="I19" s="128"/>
      <c r="J19" s="130">
        <f>SUM(H19:I19)</f>
        <v>0</v>
      </c>
      <c r="K19" s="130">
        <f>SUM(G19,J19)</f>
        <v>0</v>
      </c>
      <c r="N19" s="116" t="s">
        <v>191</v>
      </c>
      <c r="O19" s="116">
        <v>4448235</v>
      </c>
      <c r="P19" s="116">
        <v>4255440</v>
      </c>
      <c r="Q19" s="116">
        <f>5294852-674500</f>
        <v>4620352</v>
      </c>
      <c r="R19" s="116">
        <f>5931911-978500</f>
        <v>4953411</v>
      </c>
      <c r="S19" s="116">
        <f>5309629-864500</f>
        <v>4445129</v>
      </c>
      <c r="T19" s="116">
        <f>5454117-940500</f>
        <v>4513617</v>
      </c>
      <c r="U19" s="116">
        <f>5446911-969000</f>
        <v>4477911</v>
      </c>
      <c r="V19" s="116">
        <f>5498822-912000</f>
        <v>4586822</v>
      </c>
      <c r="W19" s="116">
        <f>5691617-997000</f>
        <v>4694617</v>
      </c>
      <c r="X19" s="116">
        <f>5521176-969000</f>
        <v>4552176</v>
      </c>
      <c r="Y19" s="116">
        <f>5107646-893000</f>
        <v>4214646</v>
      </c>
      <c r="Z19" s="116">
        <f>4934411-114</f>
        <v>4934297</v>
      </c>
      <c r="AA19" s="116">
        <f>SUM(O19:Z19)</f>
        <v>54696653</v>
      </c>
    </row>
    <row r="20" spans="2:29">
      <c r="B20" s="127"/>
      <c r="C20" s="131"/>
      <c r="D20" s="132"/>
      <c r="E20" s="131"/>
      <c r="F20" s="131"/>
      <c r="G20" s="133">
        <f>SUM(E20:F20)</f>
        <v>0</v>
      </c>
      <c r="H20" s="131"/>
      <c r="I20" s="131"/>
      <c r="J20" s="133">
        <f>SUM(H20:I20)</f>
        <v>0</v>
      </c>
      <c r="K20" s="133">
        <f>SUM(G20,J20)</f>
        <v>0</v>
      </c>
      <c r="N20" s="116" t="s">
        <v>36</v>
      </c>
      <c r="O20" s="116">
        <v>848854</v>
      </c>
      <c r="P20" s="116">
        <v>811875</v>
      </c>
      <c r="Q20" s="116">
        <v>1043145</v>
      </c>
      <c r="R20" s="116">
        <v>801520</v>
      </c>
      <c r="S20" s="116">
        <v>1103790</v>
      </c>
      <c r="T20" s="116">
        <v>1067270</v>
      </c>
      <c r="U20" s="116">
        <v>709353</v>
      </c>
      <c r="V20" s="116">
        <v>1005458</v>
      </c>
      <c r="W20" s="116">
        <v>892041</v>
      </c>
      <c r="X20" s="116">
        <v>790853</v>
      </c>
      <c r="Y20" s="116">
        <v>715375</v>
      </c>
      <c r="Z20" s="116">
        <v>961686</v>
      </c>
      <c r="AA20" s="116">
        <f>SUM(O20:Z20)</f>
        <v>10751220</v>
      </c>
    </row>
    <row r="21" spans="2:29">
      <c r="B21" s="127"/>
      <c r="C21" s="131"/>
      <c r="D21" s="132"/>
      <c r="E21" s="131"/>
      <c r="F21" s="131"/>
      <c r="G21" s="133">
        <f>SUM(E21:F21)</f>
        <v>0</v>
      </c>
      <c r="H21" s="131"/>
      <c r="I21" s="131"/>
      <c r="J21" s="133">
        <f>SUM(H21:I21)</f>
        <v>0</v>
      </c>
      <c r="K21" s="133">
        <f>SUM(G21,J21)</f>
        <v>0</v>
      </c>
      <c r="N21" s="116" t="s">
        <v>16</v>
      </c>
      <c r="O21" s="116">
        <f t="shared" ref="O21:Z21" si="2">SUM(O19:O20)</f>
        <v>5297089</v>
      </c>
      <c r="P21" s="116">
        <f t="shared" si="2"/>
        <v>5067315</v>
      </c>
      <c r="Q21" s="116">
        <f t="shared" si="2"/>
        <v>5663497</v>
      </c>
      <c r="R21" s="116">
        <f t="shared" si="2"/>
        <v>5754931</v>
      </c>
      <c r="S21" s="116">
        <f t="shared" si="2"/>
        <v>5548919</v>
      </c>
      <c r="T21" s="116">
        <f t="shared" si="2"/>
        <v>5580887</v>
      </c>
      <c r="U21" s="116">
        <f t="shared" si="2"/>
        <v>5187264</v>
      </c>
      <c r="V21" s="116">
        <f t="shared" si="2"/>
        <v>5592280</v>
      </c>
      <c r="W21" s="116">
        <f t="shared" si="2"/>
        <v>5586658</v>
      </c>
      <c r="X21" s="116">
        <f t="shared" si="2"/>
        <v>5343029</v>
      </c>
      <c r="Y21" s="116">
        <f t="shared" si="2"/>
        <v>4930021</v>
      </c>
      <c r="Z21" s="116">
        <f t="shared" si="2"/>
        <v>5895983</v>
      </c>
      <c r="AA21" s="116">
        <f>SUM(O21:Z21)</f>
        <v>65447873</v>
      </c>
      <c r="AC21" s="117">
        <v>0.05</v>
      </c>
    </row>
    <row r="22" spans="2:29">
      <c r="B22" s="127"/>
      <c r="C22" s="134"/>
      <c r="D22" s="135"/>
      <c r="E22" s="134"/>
      <c r="F22" s="134"/>
      <c r="G22" s="136">
        <f>SUM(E22:F22)</f>
        <v>0</v>
      </c>
      <c r="H22" s="134"/>
      <c r="I22" s="134"/>
      <c r="J22" s="136">
        <f>SUM(H22:I22)</f>
        <v>0</v>
      </c>
      <c r="K22" s="136">
        <f>SUM(G22,J22)</f>
        <v>0</v>
      </c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38" t="str">
        <f>"売上前年比" &amp;AC21</f>
        <v>売上前年比0.05</v>
      </c>
      <c r="AC22" s="116">
        <f>AA21+(AA21*AC21)</f>
        <v>68720266.650000006</v>
      </c>
    </row>
    <row r="23" spans="2:29">
      <c r="B23" s="137"/>
      <c r="C23" s="124" t="s">
        <v>31</v>
      </c>
      <c r="D23" s="125"/>
      <c r="E23" s="124">
        <f t="shared" ref="E23:K23" si="3">SUM(E19:E22)</f>
        <v>0</v>
      </c>
      <c r="F23" s="124">
        <f t="shared" si="3"/>
        <v>0</v>
      </c>
      <c r="G23" s="124">
        <f t="shared" si="3"/>
        <v>0</v>
      </c>
      <c r="H23" s="124">
        <f t="shared" si="3"/>
        <v>0</v>
      </c>
      <c r="I23" s="124">
        <f t="shared" si="3"/>
        <v>0</v>
      </c>
      <c r="J23" s="124">
        <f t="shared" si="3"/>
        <v>0</v>
      </c>
      <c r="K23" s="124">
        <f t="shared" si="3"/>
        <v>0</v>
      </c>
      <c r="N23" s="116">
        <v>950000</v>
      </c>
      <c r="O23" s="185">
        <v>5000</v>
      </c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22" t="s">
        <v>192</v>
      </c>
      <c r="AC23" s="116">
        <f>AC22-AA21</f>
        <v>3272393.650000006</v>
      </c>
    </row>
    <row r="24" spans="2:29">
      <c r="B24" s="126" t="s">
        <v>40</v>
      </c>
      <c r="C24" s="124"/>
      <c r="D24" s="125"/>
      <c r="E24" s="124"/>
      <c r="F24" s="124"/>
      <c r="G24" s="124"/>
      <c r="H24" s="124"/>
      <c r="I24" s="124"/>
      <c r="J24" s="124"/>
      <c r="K24" s="124"/>
      <c r="N24" s="183">
        <v>170</v>
      </c>
      <c r="O24" s="183">
        <v>20</v>
      </c>
      <c r="P24" s="183"/>
      <c r="Q24" s="183"/>
      <c r="R24" s="183"/>
      <c r="S24" s="116"/>
      <c r="T24" s="116"/>
      <c r="U24" s="116"/>
      <c r="V24" s="116"/>
      <c r="W24" s="116"/>
      <c r="X24" s="116"/>
      <c r="Y24" s="116"/>
      <c r="Z24" s="116"/>
      <c r="AA24" s="116"/>
    </row>
    <row r="25" spans="2:29">
      <c r="B25" s="127"/>
      <c r="C25" s="128"/>
      <c r="D25" s="129"/>
      <c r="E25" s="128"/>
      <c r="F25" s="128"/>
      <c r="G25" s="130">
        <f>SUM(E25:F25)</f>
        <v>0</v>
      </c>
      <c r="H25" s="128"/>
      <c r="I25" s="128"/>
      <c r="J25" s="130">
        <f>SUM(H25:I25)</f>
        <v>0</v>
      </c>
      <c r="K25" s="130">
        <f>SUM(G25,J25)</f>
        <v>0</v>
      </c>
      <c r="N25" s="183">
        <v>165</v>
      </c>
      <c r="O25" s="183">
        <v>7.5</v>
      </c>
      <c r="P25" s="183"/>
      <c r="Q25" s="184" t="s">
        <v>70</v>
      </c>
      <c r="R25" s="183">
        <v>140</v>
      </c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2:29">
      <c r="B26" s="127"/>
      <c r="C26" s="131"/>
      <c r="D26" s="132"/>
      <c r="E26" s="131"/>
      <c r="F26" s="131"/>
      <c r="G26" s="133">
        <f>SUM(E26:F26)</f>
        <v>0</v>
      </c>
      <c r="H26" s="131"/>
      <c r="I26" s="131"/>
      <c r="J26" s="133">
        <f>SUM(H26:I26)</f>
        <v>0</v>
      </c>
      <c r="K26" s="133">
        <f>SUM(G26,J26)</f>
        <v>0</v>
      </c>
      <c r="N26" s="183">
        <v>5</v>
      </c>
      <c r="O26" s="183"/>
      <c r="P26" s="183"/>
      <c r="Q26" s="183" t="s">
        <v>193</v>
      </c>
      <c r="R26" s="183">
        <v>5</v>
      </c>
      <c r="S26" s="116"/>
      <c r="T26" s="116"/>
      <c r="U26" s="116"/>
      <c r="V26" s="116"/>
      <c r="W26" s="116"/>
      <c r="X26" s="116"/>
      <c r="Y26" s="116"/>
      <c r="Z26" s="116"/>
      <c r="AA26" s="116"/>
    </row>
    <row r="27" spans="2:29">
      <c r="B27" s="127"/>
      <c r="C27" s="131"/>
      <c r="D27" s="132"/>
      <c r="E27" s="131"/>
      <c r="F27" s="131"/>
      <c r="G27" s="133">
        <f>SUM(E27:F27)</f>
        <v>0</v>
      </c>
      <c r="H27" s="131"/>
      <c r="I27" s="131"/>
      <c r="J27" s="133">
        <f>SUM(H27:I27)</f>
        <v>0</v>
      </c>
      <c r="K27" s="133">
        <f>SUM(G27,J27)</f>
        <v>0</v>
      </c>
      <c r="N27" s="183">
        <f>N25*N26</f>
        <v>825</v>
      </c>
      <c r="O27" s="183"/>
      <c r="P27" s="183"/>
      <c r="Q27" s="183"/>
      <c r="R27" s="183"/>
      <c r="S27" s="116"/>
      <c r="T27" s="116"/>
      <c r="U27" s="116"/>
      <c r="V27" s="116"/>
      <c r="W27" s="116"/>
      <c r="X27" s="116"/>
      <c r="Y27" s="116"/>
      <c r="Z27" s="116"/>
      <c r="AA27" s="116"/>
    </row>
    <row r="28" spans="2:29">
      <c r="B28" s="127"/>
      <c r="C28" s="134"/>
      <c r="D28" s="135"/>
      <c r="E28" s="134"/>
      <c r="F28" s="134"/>
      <c r="G28" s="136">
        <f>SUM(E28:F28)</f>
        <v>0</v>
      </c>
      <c r="H28" s="134"/>
      <c r="I28" s="134"/>
      <c r="J28" s="136">
        <f>SUM(H28:I28)</f>
        <v>0</v>
      </c>
      <c r="K28" s="136">
        <f>SUM(G28,J28)</f>
        <v>0</v>
      </c>
      <c r="N28" s="183">
        <f>N27/N24</f>
        <v>4.8529411764705879</v>
      </c>
      <c r="O28" s="183"/>
      <c r="P28" s="183"/>
      <c r="Q28" s="183"/>
      <c r="R28" s="183"/>
      <c r="S28" s="116"/>
      <c r="T28" s="116"/>
      <c r="U28" s="116"/>
      <c r="V28" s="116"/>
      <c r="W28" s="116"/>
      <c r="X28" s="116"/>
      <c r="Y28" s="116"/>
      <c r="Z28" s="116"/>
      <c r="AA28" s="116"/>
    </row>
    <row r="29" spans="2:29">
      <c r="B29" s="137"/>
      <c r="C29" s="124" t="s">
        <v>31</v>
      </c>
      <c r="D29" s="125"/>
      <c r="E29" s="124">
        <f t="shared" ref="E29:K29" si="4">SUM(E25:E28)</f>
        <v>0</v>
      </c>
      <c r="F29" s="124">
        <f t="shared" si="4"/>
        <v>0</v>
      </c>
      <c r="G29" s="124">
        <f t="shared" si="4"/>
        <v>0</v>
      </c>
      <c r="H29" s="124">
        <f t="shared" si="4"/>
        <v>0</v>
      </c>
      <c r="I29" s="124">
        <f t="shared" si="4"/>
        <v>0</v>
      </c>
      <c r="J29" s="124">
        <f t="shared" si="4"/>
        <v>0</v>
      </c>
      <c r="K29" s="124">
        <f t="shared" si="4"/>
        <v>0</v>
      </c>
      <c r="N29" s="116">
        <f>N23*N28</f>
        <v>4610294.1176470583</v>
      </c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spans="2:29">
      <c r="B30" s="124"/>
      <c r="C30" s="124" t="s">
        <v>16</v>
      </c>
      <c r="D30" s="125"/>
      <c r="E30" s="124">
        <f t="shared" ref="E30:K30" si="5">E17</f>
        <v>19366</v>
      </c>
      <c r="F30" s="124">
        <f t="shared" si="5"/>
        <v>17024</v>
      </c>
      <c r="G30" s="124">
        <f t="shared" si="5"/>
        <v>36390</v>
      </c>
      <c r="H30" s="124">
        <f t="shared" si="5"/>
        <v>16562</v>
      </c>
      <c r="I30" s="124">
        <f t="shared" si="5"/>
        <v>18937</v>
      </c>
      <c r="J30" s="124">
        <f t="shared" si="5"/>
        <v>35499</v>
      </c>
      <c r="K30" s="124">
        <f t="shared" si="5"/>
        <v>71889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spans="2:29">
      <c r="M31" s="122" t="s">
        <v>194</v>
      </c>
      <c r="N31" s="116">
        <f>AA19</f>
        <v>54696653</v>
      </c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 spans="2:29">
      <c r="B32" s="122" t="s">
        <v>41</v>
      </c>
      <c r="M32" s="122" t="s">
        <v>195</v>
      </c>
      <c r="N32" s="116">
        <f>N31/12</f>
        <v>4558054.416666667</v>
      </c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spans="2:28" ht="18.75" customHeight="1">
      <c r="B33" s="139"/>
      <c r="C33" s="397" t="s">
        <v>42</v>
      </c>
      <c r="D33" s="386"/>
      <c r="E33" s="140">
        <v>7</v>
      </c>
      <c r="F33" s="140">
        <v>7</v>
      </c>
      <c r="G33" s="124">
        <f>AVERAGE(E33:F33)</f>
        <v>7</v>
      </c>
      <c r="H33" s="140">
        <v>7</v>
      </c>
      <c r="I33" s="140">
        <v>7</v>
      </c>
      <c r="J33" s="124">
        <f>AVERAGE(H33:I33)</f>
        <v>7</v>
      </c>
      <c r="K33" s="124">
        <f>AVERAGE(G33,J33)</f>
        <v>7</v>
      </c>
      <c r="M33" s="122" t="s">
        <v>196</v>
      </c>
      <c r="N33" s="197">
        <f>N32/N23</f>
        <v>4.7979520175438601</v>
      </c>
      <c r="O33" s="197">
        <f>N33/N34</f>
        <v>0.79965866959064336</v>
      </c>
      <c r="P33" s="196">
        <f>O33*N24</f>
        <v>135.94197383040938</v>
      </c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 spans="2:28" ht="18.75" customHeight="1">
      <c r="B34" s="139"/>
      <c r="C34" s="397" t="s">
        <v>43</v>
      </c>
      <c r="D34" s="386"/>
      <c r="E34" s="124">
        <f>IF(E33&lt;&gt;0,E30/E33,0)</f>
        <v>2766.5714285714284</v>
      </c>
      <c r="F34" s="124">
        <f>IF(F33&lt;&gt;0,F30/F33,0)</f>
        <v>2432</v>
      </c>
      <c r="G34" s="124">
        <f>SUM(E34:F34)</f>
        <v>5198.5714285714284</v>
      </c>
      <c r="H34" s="124">
        <f>IF(H33&lt;&gt;0,H30/H33,0)</f>
        <v>2366</v>
      </c>
      <c r="I34" s="124">
        <f>IF(I33&lt;&gt;0,I30/I33,0)</f>
        <v>2705.2857142857142</v>
      </c>
      <c r="J34" s="124">
        <f>SUM(H34:I34)</f>
        <v>5071.2857142857138</v>
      </c>
      <c r="K34" s="124">
        <f>SUM(G34,J34)</f>
        <v>10269.857142857141</v>
      </c>
      <c r="M34" s="122" t="s">
        <v>197</v>
      </c>
      <c r="N34" s="196">
        <v>6</v>
      </c>
      <c r="O34" s="116" t="s">
        <v>198</v>
      </c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spans="2:28" ht="18.75" customHeight="1">
      <c r="B35" s="139"/>
      <c r="C35" s="397" t="s">
        <v>44</v>
      </c>
      <c r="D35" s="386"/>
      <c r="E35" s="124">
        <f>E34/3</f>
        <v>922.19047619047615</v>
      </c>
      <c r="F35" s="124">
        <f>F34/3</f>
        <v>810.66666666666663</v>
      </c>
      <c r="G35" s="124">
        <f>G34/6</f>
        <v>866.42857142857144</v>
      </c>
      <c r="H35" s="124">
        <f>H34/3</f>
        <v>788.66666666666663</v>
      </c>
      <c r="I35" s="124">
        <f>I34/3</f>
        <v>901.7619047619047</v>
      </c>
      <c r="J35" s="124">
        <f>J34/6</f>
        <v>845.21428571428567</v>
      </c>
      <c r="K35" s="124">
        <f>K34/12</f>
        <v>855.82142857142844</v>
      </c>
      <c r="N35" s="196">
        <v>6</v>
      </c>
      <c r="O35" s="116" t="s">
        <v>199</v>
      </c>
      <c r="P35" s="196">
        <f>P33*N35</f>
        <v>815.65184298245629</v>
      </c>
      <c r="Q35" s="197">
        <f>P35/N24</f>
        <v>4.7979520175438601</v>
      </c>
      <c r="R35" s="116">
        <f>Q35*N23</f>
        <v>4558054.416666667</v>
      </c>
      <c r="S35" s="116"/>
      <c r="T35" s="116"/>
      <c r="U35" s="116"/>
      <c r="V35" s="116"/>
      <c r="W35" s="116"/>
      <c r="X35" s="116"/>
      <c r="Y35" s="116"/>
      <c r="Z35" s="116"/>
      <c r="AA35" s="116"/>
    </row>
    <row r="36" spans="2:28"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spans="2:28"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9" spans="2:28">
      <c r="N39" s="123" t="s">
        <v>122</v>
      </c>
      <c r="O39" s="195" t="s">
        <v>171</v>
      </c>
      <c r="P39" s="195" t="s">
        <v>172</v>
      </c>
      <c r="Q39" s="195" t="s">
        <v>173</v>
      </c>
      <c r="R39" s="195" t="s">
        <v>174</v>
      </c>
      <c r="S39" s="195" t="s">
        <v>175</v>
      </c>
      <c r="T39" s="195" t="s">
        <v>176</v>
      </c>
      <c r="U39" s="195" t="s">
        <v>177</v>
      </c>
      <c r="V39" s="195" t="s">
        <v>178</v>
      </c>
      <c r="W39" s="195" t="s">
        <v>179</v>
      </c>
      <c r="X39" s="195" t="s">
        <v>180</v>
      </c>
      <c r="Y39" s="195" t="s">
        <v>181</v>
      </c>
      <c r="Z39" s="195" t="s">
        <v>182</v>
      </c>
      <c r="AA39" s="123"/>
    </row>
    <row r="40" spans="2:28">
      <c r="N40" s="123"/>
      <c r="O40" s="123">
        <v>20</v>
      </c>
      <c r="P40" s="123">
        <v>21</v>
      </c>
      <c r="Q40" s="123">
        <v>22</v>
      </c>
      <c r="R40" s="123">
        <v>18</v>
      </c>
      <c r="S40" s="123">
        <v>22</v>
      </c>
      <c r="T40" s="123">
        <v>22</v>
      </c>
      <c r="U40" s="123">
        <v>15</v>
      </c>
      <c r="V40" s="123">
        <v>22</v>
      </c>
      <c r="W40" s="123">
        <v>18</v>
      </c>
      <c r="X40" s="123">
        <v>21</v>
      </c>
      <c r="Y40" s="123">
        <v>19</v>
      </c>
      <c r="Z40" s="123">
        <v>23</v>
      </c>
      <c r="AA40" s="123"/>
    </row>
    <row r="41" spans="2:28">
      <c r="N41" s="123" t="s">
        <v>36</v>
      </c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>
        <f>SUM(O41:Z41)</f>
        <v>0</v>
      </c>
    </row>
    <row r="42" spans="2:28">
      <c r="N42" s="123" t="s">
        <v>191</v>
      </c>
      <c r="O42" s="123">
        <v>6953</v>
      </c>
      <c r="P42" s="123">
        <v>6173</v>
      </c>
      <c r="Q42" s="123">
        <v>6240</v>
      </c>
      <c r="R42" s="123">
        <v>5882</v>
      </c>
      <c r="S42" s="123">
        <v>5662</v>
      </c>
      <c r="T42" s="123">
        <v>5480</v>
      </c>
      <c r="U42" s="123">
        <v>5601</v>
      </c>
      <c r="V42" s="123">
        <v>5296</v>
      </c>
      <c r="W42" s="123">
        <v>5665</v>
      </c>
      <c r="X42" s="123">
        <v>6011</v>
      </c>
      <c r="Y42" s="123">
        <v>6463</v>
      </c>
      <c r="Z42" s="123">
        <v>6463</v>
      </c>
      <c r="AA42" s="123">
        <f>SUM(O42:Z42)</f>
        <v>71889</v>
      </c>
    </row>
    <row r="43" spans="2:28"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>
        <f>SUM(AA41+AA42)</f>
        <v>71889</v>
      </c>
      <c r="AB43" s="141" t="s">
        <v>200</v>
      </c>
    </row>
    <row r="44" spans="2:28">
      <c r="N44" s="123" t="s">
        <v>201</v>
      </c>
      <c r="O44" s="123">
        <v>238</v>
      </c>
      <c r="P44" s="123">
        <v>238</v>
      </c>
      <c r="Q44" s="123">
        <v>238</v>
      </c>
      <c r="R44" s="123">
        <v>238</v>
      </c>
      <c r="S44" s="123">
        <v>238</v>
      </c>
      <c r="T44" s="123">
        <v>238</v>
      </c>
      <c r="U44" s="123">
        <v>238</v>
      </c>
      <c r="V44" s="123">
        <v>238</v>
      </c>
      <c r="W44" s="123">
        <v>238</v>
      </c>
      <c r="X44" s="123">
        <v>238</v>
      </c>
      <c r="Y44" s="123">
        <v>238</v>
      </c>
      <c r="Z44" s="123">
        <v>238</v>
      </c>
      <c r="AA44" s="143">
        <f>SUM(O44:Z44)</f>
        <v>2856</v>
      </c>
      <c r="AB44" s="141"/>
    </row>
    <row r="45" spans="2:28">
      <c r="N45" s="123" t="s">
        <v>202</v>
      </c>
      <c r="O45" s="123"/>
      <c r="P45" s="123"/>
      <c r="Q45" s="123"/>
      <c r="R45" s="123"/>
      <c r="S45" s="123"/>
      <c r="T45" s="123"/>
      <c r="AA45" s="123">
        <f>AA43+AA44</f>
        <v>74745</v>
      </c>
      <c r="AB45" s="141" t="s">
        <v>124</v>
      </c>
    </row>
    <row r="46" spans="2:28">
      <c r="N46" s="123" t="s">
        <v>203</v>
      </c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</row>
    <row r="47" spans="2:28">
      <c r="N47" s="122" t="s">
        <v>204</v>
      </c>
    </row>
    <row r="48" spans="2:28">
      <c r="N48" s="122" t="s">
        <v>205</v>
      </c>
    </row>
    <row r="49" spans="14:26">
      <c r="N49" s="122" t="s">
        <v>206</v>
      </c>
    </row>
    <row r="50" spans="14:26">
      <c r="N50" s="122" t="s">
        <v>207</v>
      </c>
    </row>
    <row r="51" spans="14:26">
      <c r="U51" s="122">
        <v>171</v>
      </c>
      <c r="V51" s="122">
        <v>171</v>
      </c>
      <c r="W51" s="122">
        <v>171</v>
      </c>
      <c r="X51" s="122">
        <v>171</v>
      </c>
      <c r="Y51" s="122">
        <v>171</v>
      </c>
      <c r="Z51" s="122">
        <v>171</v>
      </c>
    </row>
    <row r="52" spans="14:26">
      <c r="N52" s="122" t="s">
        <v>208</v>
      </c>
    </row>
    <row r="53" spans="14:26">
      <c r="N53" s="122" t="s">
        <v>209</v>
      </c>
      <c r="Q53" s="122">
        <v>390</v>
      </c>
      <c r="T53" s="122">
        <v>390</v>
      </c>
      <c r="W53" s="122">
        <v>390</v>
      </c>
      <c r="Z53" s="122">
        <v>390</v>
      </c>
    </row>
  </sheetData>
  <mergeCells count="3">
    <mergeCell ref="C34:D34"/>
    <mergeCell ref="C33:D33"/>
    <mergeCell ref="C35:D35"/>
  </mergeCells>
  <phoneticPr fontId="2"/>
  <pageMargins left="0.23622047244094491" right="0.23622047244094491" top="0.74803149606299213" bottom="0.74803149606299213" header="0.31496062992125978" footer="0.31496062992125978"/>
  <pageSetup paperSize="9" scale="7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7"/>
  <sheetViews>
    <sheetView showGridLines="0" tabSelected="1" zoomScale="85" zoomScaleNormal="85" workbookViewId="0">
      <selection activeCell="I27" sqref="I27"/>
    </sheetView>
  </sheetViews>
  <sheetFormatPr defaultColWidth="8.75" defaultRowHeight="14.25"/>
  <cols>
    <col min="1" max="1" width="3.75" style="2" customWidth="1"/>
    <col min="2" max="2" width="3.125" style="2" customWidth="1"/>
    <col min="3" max="3" width="25.125" style="2" customWidth="1"/>
    <col min="4" max="4" width="9.25" style="3" customWidth="1"/>
    <col min="5" max="11" width="8.75" style="17" customWidth="1"/>
    <col min="12" max="13" width="8.75" style="2" customWidth="1"/>
    <col min="14" max="16384" width="8.75" style="2"/>
  </cols>
  <sheetData>
    <row r="1" spans="1:12">
      <c r="A1" s="2" t="s">
        <v>0</v>
      </c>
    </row>
    <row r="2" spans="1:12">
      <c r="B2" s="3" t="s">
        <v>1</v>
      </c>
      <c r="C2" s="2" t="s">
        <v>2</v>
      </c>
      <c r="K2" s="18" t="s">
        <v>3</v>
      </c>
    </row>
    <row r="3" spans="1:12">
      <c r="B3" s="2" t="s">
        <v>4</v>
      </c>
      <c r="E3" s="18" t="s">
        <v>5</v>
      </c>
      <c r="F3" s="18" t="s">
        <v>6</v>
      </c>
      <c r="G3" s="18"/>
      <c r="H3" s="18" t="s">
        <v>7</v>
      </c>
      <c r="I3" s="18" t="s">
        <v>8</v>
      </c>
    </row>
    <row r="4" spans="1:12">
      <c r="B4" s="4" t="s">
        <v>9</v>
      </c>
      <c r="C4" s="4"/>
      <c r="D4" s="5" t="s">
        <v>10</v>
      </c>
      <c r="E4" s="19" t="s">
        <v>11</v>
      </c>
      <c r="F4" s="19" t="s">
        <v>12</v>
      </c>
      <c r="G4" s="19" t="s">
        <v>13</v>
      </c>
      <c r="H4" s="19" t="s">
        <v>14</v>
      </c>
      <c r="I4" s="19" t="s">
        <v>15</v>
      </c>
      <c r="J4" s="19" t="s">
        <v>13</v>
      </c>
      <c r="K4" s="19" t="s">
        <v>16</v>
      </c>
    </row>
    <row r="5" spans="1:12">
      <c r="B5" s="6" t="s">
        <v>17</v>
      </c>
      <c r="C5" s="4"/>
      <c r="D5" s="5"/>
      <c r="E5" s="20"/>
      <c r="F5" s="20"/>
      <c r="G5" s="20"/>
      <c r="H5" s="20"/>
      <c r="I5" s="20"/>
      <c r="J5" s="20"/>
      <c r="K5" s="20"/>
    </row>
    <row r="6" spans="1:12">
      <c r="B6" s="7"/>
      <c r="C6" s="9" t="s">
        <v>18</v>
      </c>
      <c r="D6" s="10" t="s">
        <v>19</v>
      </c>
      <c r="E6" s="21">
        <v>8700</v>
      </c>
      <c r="F6" s="21">
        <v>8700</v>
      </c>
      <c r="G6" s="26">
        <f t="shared" ref="G6:G12" si="0">SUM(E6:F6)</f>
        <v>17400</v>
      </c>
      <c r="H6" s="21">
        <v>8700</v>
      </c>
      <c r="I6" s="21">
        <v>8700</v>
      </c>
      <c r="J6" s="26">
        <f t="shared" ref="J6:J12" si="1">SUM(H6:I6)</f>
        <v>17400</v>
      </c>
      <c r="K6" s="26">
        <f t="shared" ref="K6:K12" si="2">SUM(G6,J6)</f>
        <v>34800</v>
      </c>
      <c r="L6" s="2" t="s">
        <v>20</v>
      </c>
    </row>
    <row r="7" spans="1:12">
      <c r="B7" s="7"/>
      <c r="C7" s="11" t="s">
        <v>21</v>
      </c>
      <c r="D7" s="12" t="s">
        <v>19</v>
      </c>
      <c r="E7" s="22">
        <v>2550</v>
      </c>
      <c r="F7" s="22">
        <v>2550</v>
      </c>
      <c r="G7" s="27">
        <f t="shared" si="0"/>
        <v>5100</v>
      </c>
      <c r="H7" s="22">
        <v>2550</v>
      </c>
      <c r="I7" s="22">
        <v>2550</v>
      </c>
      <c r="J7" s="27">
        <f t="shared" si="1"/>
        <v>5100</v>
      </c>
      <c r="K7" s="27">
        <f t="shared" si="2"/>
        <v>10200</v>
      </c>
      <c r="L7" s="2" t="s">
        <v>22</v>
      </c>
    </row>
    <row r="8" spans="1:12">
      <c r="B8" s="7"/>
      <c r="C8" s="11" t="s">
        <v>23</v>
      </c>
      <c r="D8" s="12" t="s">
        <v>19</v>
      </c>
      <c r="E8" s="22">
        <v>2400</v>
      </c>
      <c r="F8" s="22">
        <v>2400</v>
      </c>
      <c r="G8" s="27">
        <f t="shared" si="0"/>
        <v>4800</v>
      </c>
      <c r="H8" s="22">
        <v>2400</v>
      </c>
      <c r="I8" s="22">
        <v>2400</v>
      </c>
      <c r="J8" s="27">
        <f t="shared" si="1"/>
        <v>4800</v>
      </c>
      <c r="K8" s="27">
        <f t="shared" si="2"/>
        <v>9600</v>
      </c>
      <c r="L8" s="2" t="s">
        <v>24</v>
      </c>
    </row>
    <row r="9" spans="1:12">
      <c r="B9" s="7"/>
      <c r="C9" s="11" t="s">
        <v>25</v>
      </c>
      <c r="D9" s="186" t="s">
        <v>26</v>
      </c>
      <c r="E9" s="339"/>
      <c r="F9" s="22">
        <v>450</v>
      </c>
      <c r="G9" s="340">
        <f t="shared" si="0"/>
        <v>450</v>
      </c>
      <c r="H9" s="22">
        <v>450</v>
      </c>
      <c r="I9" s="22">
        <v>450</v>
      </c>
      <c r="J9" s="340">
        <f t="shared" si="1"/>
        <v>900</v>
      </c>
      <c r="K9" s="340">
        <f t="shared" si="2"/>
        <v>1350</v>
      </c>
      <c r="L9" s="216" t="s">
        <v>27</v>
      </c>
    </row>
    <row r="10" spans="1:12">
      <c r="B10" s="7"/>
      <c r="C10" s="11" t="s">
        <v>18</v>
      </c>
      <c r="D10" s="12" t="s">
        <v>26</v>
      </c>
      <c r="E10" s="22"/>
      <c r="F10" s="22"/>
      <c r="G10" s="27">
        <f t="shared" si="0"/>
        <v>0</v>
      </c>
      <c r="H10" s="22"/>
      <c r="I10" s="22">
        <v>1200</v>
      </c>
      <c r="J10" s="27">
        <f t="shared" si="1"/>
        <v>1200</v>
      </c>
      <c r="K10" s="27">
        <f t="shared" si="2"/>
        <v>1200</v>
      </c>
      <c r="L10" s="2" t="s">
        <v>28</v>
      </c>
    </row>
    <row r="11" spans="1:12">
      <c r="B11" s="7"/>
      <c r="C11" s="11" t="s">
        <v>23</v>
      </c>
      <c r="D11" s="186" t="s">
        <v>26</v>
      </c>
      <c r="E11" s="22"/>
      <c r="F11" s="22">
        <v>150</v>
      </c>
      <c r="G11" s="27">
        <f t="shared" si="0"/>
        <v>150</v>
      </c>
      <c r="H11" s="22">
        <v>150</v>
      </c>
      <c r="I11" s="22">
        <v>150</v>
      </c>
      <c r="J11" s="27">
        <f t="shared" si="1"/>
        <v>300</v>
      </c>
      <c r="K11" s="27">
        <f t="shared" si="2"/>
        <v>450</v>
      </c>
      <c r="L11" s="2" t="s">
        <v>29</v>
      </c>
    </row>
    <row r="12" spans="1:12">
      <c r="B12" s="7"/>
      <c r="C12" s="13" t="s">
        <v>30</v>
      </c>
      <c r="D12" s="14" t="s">
        <v>26</v>
      </c>
      <c r="E12" s="23">
        <v>65</v>
      </c>
      <c r="F12" s="23">
        <v>165</v>
      </c>
      <c r="G12" s="27">
        <f t="shared" si="0"/>
        <v>230</v>
      </c>
      <c r="H12" s="23">
        <v>165</v>
      </c>
      <c r="I12" s="23">
        <v>7</v>
      </c>
      <c r="J12" s="28">
        <f t="shared" si="1"/>
        <v>172</v>
      </c>
      <c r="K12" s="27">
        <f t="shared" si="2"/>
        <v>402</v>
      </c>
    </row>
    <row r="13" spans="1:12">
      <c r="B13" s="8"/>
      <c r="C13" s="4" t="s">
        <v>31</v>
      </c>
      <c r="D13" s="5"/>
      <c r="E13" s="20">
        <f t="shared" ref="E13:K13" si="3">SUM(E6:E12)</f>
        <v>13715</v>
      </c>
      <c r="F13" s="20">
        <f t="shared" si="3"/>
        <v>14415</v>
      </c>
      <c r="G13" s="20">
        <f t="shared" si="3"/>
        <v>28130</v>
      </c>
      <c r="H13" s="20">
        <f t="shared" si="3"/>
        <v>14415</v>
      </c>
      <c r="I13" s="20">
        <f t="shared" si="3"/>
        <v>15457</v>
      </c>
      <c r="J13" s="20">
        <f t="shared" si="3"/>
        <v>29872</v>
      </c>
      <c r="K13" s="20">
        <f t="shared" si="3"/>
        <v>58002</v>
      </c>
    </row>
    <row r="14" spans="1:12">
      <c r="B14" s="6" t="s">
        <v>32</v>
      </c>
      <c r="C14" s="4"/>
      <c r="D14" s="5"/>
      <c r="E14" s="20"/>
      <c r="F14" s="20"/>
      <c r="G14" s="20"/>
      <c r="H14" s="20"/>
      <c r="I14" s="20"/>
      <c r="J14" s="20"/>
      <c r="K14" s="20"/>
    </row>
    <row r="15" spans="1:12">
      <c r="B15" s="7"/>
      <c r="C15" s="11" t="s">
        <v>33</v>
      </c>
      <c r="D15" s="12" t="s">
        <v>34</v>
      </c>
      <c r="E15" s="22">
        <v>1950</v>
      </c>
      <c r="F15" s="22">
        <v>1950</v>
      </c>
      <c r="G15" s="27">
        <f>SUM(E15:F15)</f>
        <v>3900</v>
      </c>
      <c r="H15" s="22">
        <v>1950</v>
      </c>
      <c r="I15" s="22">
        <v>1950</v>
      </c>
      <c r="J15" s="26">
        <f>SUM(H15:I15)</f>
        <v>3900</v>
      </c>
      <c r="K15" s="26">
        <f>SUM(G15,J15)</f>
        <v>7800</v>
      </c>
      <c r="L15" s="2" t="s">
        <v>35</v>
      </c>
    </row>
    <row r="16" spans="1:12">
      <c r="B16" s="7"/>
      <c r="C16" s="11"/>
      <c r="D16" s="12"/>
      <c r="E16" s="22"/>
      <c r="F16" s="22"/>
      <c r="G16" s="27">
        <f>SUM(E16:F16)</f>
        <v>0</v>
      </c>
      <c r="H16" s="22"/>
      <c r="I16" s="22"/>
      <c r="J16" s="27">
        <f>SUM(H16:I16)</f>
        <v>0</v>
      </c>
      <c r="K16" s="27">
        <f>SUM(G16,J16)</f>
        <v>0</v>
      </c>
    </row>
    <row r="17" spans="2:12">
      <c r="B17" s="7"/>
      <c r="C17" s="11"/>
      <c r="D17" s="12"/>
      <c r="E17" s="22"/>
      <c r="F17" s="22"/>
      <c r="G17" s="27">
        <f>SUM(E17:F17)</f>
        <v>0</v>
      </c>
      <c r="H17" s="22"/>
      <c r="I17" s="22"/>
      <c r="J17" s="27">
        <f>SUM(H17:I17)</f>
        <v>0</v>
      </c>
      <c r="K17" s="27">
        <f>SUM(G17,J17)</f>
        <v>0</v>
      </c>
    </row>
    <row r="18" spans="2:12">
      <c r="B18" s="7"/>
      <c r="C18" s="13"/>
      <c r="D18" s="14"/>
      <c r="E18" s="23"/>
      <c r="F18" s="23"/>
      <c r="G18" s="28">
        <f>SUM(E18:F18)</f>
        <v>0</v>
      </c>
      <c r="H18" s="23"/>
      <c r="I18" s="23"/>
      <c r="J18" s="28">
        <f>SUM(H18:I18)</f>
        <v>0</v>
      </c>
      <c r="K18" s="28">
        <f>SUM(G18,J18)</f>
        <v>0</v>
      </c>
    </row>
    <row r="19" spans="2:12">
      <c r="B19" s="8"/>
      <c r="C19" s="4" t="s">
        <v>31</v>
      </c>
      <c r="D19" s="5"/>
      <c r="E19" s="20">
        <f t="shared" ref="E19:K19" si="4">SUM(E15:E18)</f>
        <v>1950</v>
      </c>
      <c r="F19" s="20">
        <f t="shared" si="4"/>
        <v>1950</v>
      </c>
      <c r="G19" s="20">
        <f t="shared" si="4"/>
        <v>3900</v>
      </c>
      <c r="H19" s="20">
        <f t="shared" si="4"/>
        <v>1950</v>
      </c>
      <c r="I19" s="20">
        <f t="shared" si="4"/>
        <v>1950</v>
      </c>
      <c r="J19" s="20">
        <f t="shared" si="4"/>
        <v>3900</v>
      </c>
      <c r="K19" s="20">
        <f t="shared" si="4"/>
        <v>7800</v>
      </c>
    </row>
    <row r="20" spans="2:12">
      <c r="B20" s="6" t="s">
        <v>36</v>
      </c>
      <c r="C20" s="4"/>
      <c r="D20" s="5"/>
      <c r="E20" s="20"/>
      <c r="F20" s="20"/>
      <c r="G20" s="20"/>
      <c r="H20" s="20"/>
      <c r="I20" s="20"/>
      <c r="J20" s="20"/>
      <c r="K20" s="20"/>
    </row>
    <row r="21" spans="2:12">
      <c r="B21" s="7"/>
      <c r="C21" s="9" t="s">
        <v>37</v>
      </c>
      <c r="D21" s="10" t="s">
        <v>19</v>
      </c>
      <c r="E21" s="21">
        <v>2035</v>
      </c>
      <c r="F21" s="21">
        <v>2035</v>
      </c>
      <c r="G21" s="26">
        <f>SUM(E21:F21)</f>
        <v>4070</v>
      </c>
      <c r="H21" s="21">
        <v>2035</v>
      </c>
      <c r="I21" s="21">
        <v>2035</v>
      </c>
      <c r="J21" s="26">
        <f>SUM(H21:I21)</f>
        <v>4070</v>
      </c>
      <c r="K21" s="26">
        <f>SUM(G21,J21)</f>
        <v>8140</v>
      </c>
      <c r="L21" s="2" t="s">
        <v>38</v>
      </c>
    </row>
    <row r="22" spans="2:12">
      <c r="B22" s="7"/>
      <c r="C22" s="11" t="s">
        <v>39</v>
      </c>
      <c r="D22" s="12" t="s">
        <v>26</v>
      </c>
      <c r="E22" s="22"/>
      <c r="F22" s="22"/>
      <c r="G22" s="27">
        <f>SUM(E22:F22)</f>
        <v>0</v>
      </c>
      <c r="H22" s="22"/>
      <c r="I22" s="22">
        <v>58</v>
      </c>
      <c r="J22" s="27">
        <f>SUM(H22:I22)</f>
        <v>58</v>
      </c>
      <c r="K22" s="27">
        <f>SUM(G22,J22)</f>
        <v>58</v>
      </c>
    </row>
    <row r="23" spans="2:12">
      <c r="B23" s="7"/>
      <c r="C23" s="11"/>
      <c r="D23" s="12"/>
      <c r="E23" s="22"/>
      <c r="F23" s="22"/>
      <c r="G23" s="27">
        <f>SUM(E23:F23)</f>
        <v>0</v>
      </c>
      <c r="H23" s="22"/>
      <c r="I23" s="22"/>
      <c r="J23" s="27">
        <f>SUM(H23:I23)</f>
        <v>0</v>
      </c>
      <c r="K23" s="27">
        <f>SUM(G23,J23)</f>
        <v>0</v>
      </c>
    </row>
    <row r="24" spans="2:12">
      <c r="B24" s="7"/>
      <c r="C24" s="13"/>
      <c r="D24" s="14"/>
      <c r="E24" s="23"/>
      <c r="F24" s="23"/>
      <c r="G24" s="28">
        <f>SUM(E24:F24)</f>
        <v>0</v>
      </c>
      <c r="H24" s="23"/>
      <c r="I24" s="23"/>
      <c r="J24" s="28">
        <f>SUM(H24:I24)</f>
        <v>0</v>
      </c>
      <c r="K24" s="28">
        <f>SUM(G24,J24)</f>
        <v>0</v>
      </c>
    </row>
    <row r="25" spans="2:12">
      <c r="B25" s="8"/>
      <c r="C25" s="4" t="s">
        <v>31</v>
      </c>
      <c r="D25" s="5"/>
      <c r="E25" s="20">
        <f t="shared" ref="E25:K25" si="5">SUM(E21:E24)</f>
        <v>2035</v>
      </c>
      <c r="F25" s="20">
        <f t="shared" si="5"/>
        <v>2035</v>
      </c>
      <c r="G25" s="20">
        <f t="shared" si="5"/>
        <v>4070</v>
      </c>
      <c r="H25" s="20">
        <f t="shared" si="5"/>
        <v>2035</v>
      </c>
      <c r="I25" s="20">
        <f t="shared" si="5"/>
        <v>2093</v>
      </c>
      <c r="J25" s="20">
        <f t="shared" si="5"/>
        <v>4128</v>
      </c>
      <c r="K25" s="20">
        <f t="shared" si="5"/>
        <v>8198</v>
      </c>
    </row>
    <row r="26" spans="2:12">
      <c r="B26" s="6" t="s">
        <v>40</v>
      </c>
      <c r="C26" s="4"/>
      <c r="D26" s="5"/>
      <c r="E26" s="20"/>
      <c r="F26" s="20"/>
      <c r="G26" s="20"/>
      <c r="H26" s="20"/>
      <c r="I26" s="20"/>
      <c r="J26" s="20"/>
      <c r="K26" s="20"/>
    </row>
    <row r="27" spans="2:12">
      <c r="B27" s="7"/>
      <c r="C27" s="9"/>
      <c r="D27" s="10"/>
      <c r="E27" s="21"/>
      <c r="F27" s="21"/>
      <c r="G27" s="26">
        <f>SUM(E27:F27)</f>
        <v>0</v>
      </c>
      <c r="H27" s="21"/>
      <c r="I27" s="21"/>
      <c r="J27" s="26">
        <f>SUM(H27:I27)</f>
        <v>0</v>
      </c>
      <c r="K27" s="26">
        <f>SUM(G27,J27)</f>
        <v>0</v>
      </c>
    </row>
    <row r="28" spans="2:12">
      <c r="B28" s="7"/>
      <c r="C28" s="11"/>
      <c r="D28" s="12"/>
      <c r="E28" s="22"/>
      <c r="F28" s="22"/>
      <c r="G28" s="27">
        <f>SUM(E28:F28)</f>
        <v>0</v>
      </c>
      <c r="H28" s="22"/>
      <c r="I28" s="22"/>
      <c r="J28" s="27">
        <f>SUM(H28:I28)</f>
        <v>0</v>
      </c>
      <c r="K28" s="27">
        <f>SUM(G28,J28)</f>
        <v>0</v>
      </c>
    </row>
    <row r="29" spans="2:12">
      <c r="B29" s="7"/>
      <c r="C29" s="11"/>
      <c r="D29" s="12"/>
      <c r="E29" s="22"/>
      <c r="F29" s="22"/>
      <c r="G29" s="27">
        <f>SUM(E29:F29)</f>
        <v>0</v>
      </c>
      <c r="H29" s="22"/>
      <c r="I29" s="22"/>
      <c r="J29" s="27">
        <f>SUM(H29:I29)</f>
        <v>0</v>
      </c>
      <c r="K29" s="27">
        <f>SUM(G29,J29)</f>
        <v>0</v>
      </c>
    </row>
    <row r="30" spans="2:12">
      <c r="B30" s="7"/>
      <c r="C30" s="13"/>
      <c r="D30" s="14"/>
      <c r="E30" s="23"/>
      <c r="F30" s="23"/>
      <c r="G30" s="28">
        <f>SUM(E30:F30)</f>
        <v>0</v>
      </c>
      <c r="H30" s="23"/>
      <c r="I30" s="23"/>
      <c r="J30" s="28">
        <f>SUM(H30:I30)</f>
        <v>0</v>
      </c>
      <c r="K30" s="28">
        <f>SUM(G30,J30)</f>
        <v>0</v>
      </c>
    </row>
    <row r="31" spans="2:12">
      <c r="B31" s="8"/>
      <c r="C31" s="4" t="s">
        <v>31</v>
      </c>
      <c r="D31" s="5"/>
      <c r="E31" s="20">
        <f t="shared" ref="E31:K31" si="6">SUM(E27:E30)</f>
        <v>0</v>
      </c>
      <c r="F31" s="20">
        <f t="shared" si="6"/>
        <v>0</v>
      </c>
      <c r="G31" s="20">
        <f t="shared" si="6"/>
        <v>0</v>
      </c>
      <c r="H31" s="20">
        <f t="shared" si="6"/>
        <v>0</v>
      </c>
      <c r="I31" s="20">
        <f t="shared" si="6"/>
        <v>0</v>
      </c>
      <c r="J31" s="20">
        <f t="shared" si="6"/>
        <v>0</v>
      </c>
      <c r="K31" s="20">
        <f t="shared" si="6"/>
        <v>0</v>
      </c>
    </row>
    <row r="32" spans="2:12">
      <c r="B32" s="4"/>
      <c r="C32" s="4" t="s">
        <v>16</v>
      </c>
      <c r="D32" s="5"/>
      <c r="E32" s="20">
        <f t="shared" ref="E32:K32" si="7">SUM(E13,E19,E25,E31)</f>
        <v>17700</v>
      </c>
      <c r="F32" s="20">
        <f t="shared" si="7"/>
        <v>18400</v>
      </c>
      <c r="G32" s="20">
        <f t="shared" si="7"/>
        <v>36100</v>
      </c>
      <c r="H32" s="20">
        <f t="shared" si="7"/>
        <v>18400</v>
      </c>
      <c r="I32" s="20">
        <f t="shared" si="7"/>
        <v>19500</v>
      </c>
      <c r="J32" s="20">
        <f t="shared" si="7"/>
        <v>37900</v>
      </c>
      <c r="K32" s="20">
        <f t="shared" si="7"/>
        <v>74000</v>
      </c>
    </row>
    <row r="34" spans="2:11">
      <c r="B34" s="2" t="s">
        <v>41</v>
      </c>
    </row>
    <row r="35" spans="2:11" ht="18.75" customHeight="1">
      <c r="B35" s="16"/>
      <c r="C35" s="385" t="s">
        <v>42</v>
      </c>
      <c r="D35" s="386"/>
      <c r="E35" s="25">
        <v>8</v>
      </c>
      <c r="F35" s="111">
        <v>8</v>
      </c>
      <c r="G35" s="20">
        <f>AVERAGE(E35:F35)</f>
        <v>8</v>
      </c>
      <c r="H35" s="25">
        <v>8</v>
      </c>
      <c r="I35" s="25">
        <v>8</v>
      </c>
      <c r="J35" s="20">
        <f>AVERAGE(H35:I35)</f>
        <v>8</v>
      </c>
      <c r="K35" s="20">
        <f>AVERAGE(G35,J35)</f>
        <v>8</v>
      </c>
    </row>
    <row r="36" spans="2:11" ht="18.75" customHeight="1">
      <c r="B36" s="16"/>
      <c r="C36" s="385" t="s">
        <v>43</v>
      </c>
      <c r="D36" s="386"/>
      <c r="E36" s="20">
        <f>IF(E35&lt;&gt;0,E32/E35,0)</f>
        <v>2212.5</v>
      </c>
      <c r="F36" s="20">
        <f>IF(F35&lt;&gt;0,F32/F35,0)</f>
        <v>2300</v>
      </c>
      <c r="G36" s="20">
        <f>SUM(E36:F36)</f>
        <v>4512.5</v>
      </c>
      <c r="H36" s="20">
        <f>IF(H35&lt;&gt;0,H32/H35,0)</f>
        <v>2300</v>
      </c>
      <c r="I36" s="20">
        <f>IF(I35&lt;&gt;0,I32/I35,0)</f>
        <v>2437.5</v>
      </c>
      <c r="J36" s="20">
        <f>SUM(H36:I36)</f>
        <v>4737.5</v>
      </c>
      <c r="K36" s="20">
        <f>SUM(G36,J36)</f>
        <v>9250</v>
      </c>
    </row>
    <row r="37" spans="2:11" ht="18.75" customHeight="1">
      <c r="B37" s="16"/>
      <c r="C37" s="385" t="s">
        <v>44</v>
      </c>
      <c r="D37" s="386"/>
      <c r="E37" s="20">
        <f>E36/3</f>
        <v>737.5</v>
      </c>
      <c r="F37" s="20">
        <f>F36/3</f>
        <v>766.66666666666663</v>
      </c>
      <c r="G37" s="20">
        <f>G36/6</f>
        <v>752.08333333333337</v>
      </c>
      <c r="H37" s="20">
        <f>H36/3</f>
        <v>766.66666666666663</v>
      </c>
      <c r="I37" s="20">
        <f>I36/3</f>
        <v>812.5</v>
      </c>
      <c r="J37" s="20">
        <f>J36/6</f>
        <v>789.58333333333337</v>
      </c>
      <c r="K37" s="20">
        <f>K36/12</f>
        <v>770.83333333333337</v>
      </c>
    </row>
    <row r="39" spans="2:11">
      <c r="B39" s="112" t="s">
        <v>45</v>
      </c>
      <c r="C39" s="112"/>
      <c r="D39" s="113">
        <v>72340</v>
      </c>
    </row>
    <row r="40" spans="2:11">
      <c r="D40" s="18"/>
    </row>
    <row r="41" spans="2:11">
      <c r="B41" s="114" t="s">
        <v>46</v>
      </c>
      <c r="C41" s="114"/>
      <c r="D41" s="115">
        <f>D39*1.1</f>
        <v>79574</v>
      </c>
    </row>
    <row r="42" spans="2:11">
      <c r="B42" s="114" t="s">
        <v>47</v>
      </c>
      <c r="C42" s="114"/>
      <c r="D42" s="115">
        <f>D39-D41</f>
        <v>-7234</v>
      </c>
      <c r="E42" s="17">
        <f>D42/10*-1</f>
        <v>723.4</v>
      </c>
      <c r="F42" s="17" t="s">
        <v>48</v>
      </c>
    </row>
    <row r="43" spans="2:11">
      <c r="B43" s="114" t="s">
        <v>49</v>
      </c>
      <c r="C43" s="114"/>
      <c r="D43" s="115">
        <f>D42/12</f>
        <v>-602.83333333333337</v>
      </c>
      <c r="E43" s="17">
        <f>D43/10*-1</f>
        <v>60.283333333333339</v>
      </c>
      <c r="F43" s="17" t="s">
        <v>48</v>
      </c>
    </row>
    <row r="45" spans="2:11">
      <c r="B45" s="114" t="s">
        <v>50</v>
      </c>
      <c r="C45" s="114"/>
      <c r="D45" s="115">
        <f>D39*1.05</f>
        <v>75957</v>
      </c>
    </row>
    <row r="46" spans="2:11">
      <c r="B46" s="114" t="s">
        <v>47</v>
      </c>
      <c r="C46" s="114"/>
      <c r="D46" s="115">
        <f>D39-D45</f>
        <v>-3617</v>
      </c>
      <c r="E46" s="17">
        <f>D46/10*-1</f>
        <v>361.7</v>
      </c>
      <c r="F46" s="17" t="s">
        <v>48</v>
      </c>
    </row>
    <row r="47" spans="2:11">
      <c r="B47" s="114" t="s">
        <v>49</v>
      </c>
      <c r="C47" s="114"/>
      <c r="D47" s="115">
        <f>D46/12</f>
        <v>-301.41666666666669</v>
      </c>
      <c r="E47" s="17">
        <f>D47/10*-1</f>
        <v>30.141666666666669</v>
      </c>
      <c r="F47" s="17" t="s">
        <v>48</v>
      </c>
    </row>
  </sheetData>
  <mergeCells count="3">
    <mergeCell ref="C36:D36"/>
    <mergeCell ref="C35:D35"/>
    <mergeCell ref="C37:D37"/>
  </mergeCells>
  <phoneticPr fontId="2"/>
  <pageMargins left="0.23622047244094491" right="0.23622047244094491" top="0.74803149606299213" bottom="0.74803149606299213" header="0.31496062992125978" footer="0.31496062992125978"/>
  <pageSetup paperSize="9" scale="88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14"/>
  <sheetViews>
    <sheetView topLeftCell="G6" workbookViewId="0">
      <selection activeCell="G7" sqref="G7"/>
    </sheetView>
  </sheetViews>
  <sheetFormatPr defaultColWidth="8.75" defaultRowHeight="14.25"/>
  <cols>
    <col min="1" max="1" width="8.75" style="1" customWidth="1"/>
    <col min="2" max="2" width="43.625" style="1" customWidth="1"/>
    <col min="3" max="3" width="8.75" style="1" customWidth="1"/>
    <col min="4" max="4" width="13.75" style="1" customWidth="1"/>
    <col min="5" max="6" width="8.75" style="1" customWidth="1"/>
    <col min="7" max="16384" width="8.75" style="1"/>
  </cols>
  <sheetData>
    <row r="2" spans="2:6">
      <c r="B2" s="1" t="s">
        <v>58</v>
      </c>
      <c r="C2" s="1" t="s">
        <v>210</v>
      </c>
      <c r="D2" s="1" t="s">
        <v>211</v>
      </c>
    </row>
    <row r="3" spans="2:6">
      <c r="B3" s="1" t="s">
        <v>127</v>
      </c>
      <c r="D3" s="1" t="s">
        <v>19</v>
      </c>
    </row>
    <row r="4" spans="2:6">
      <c r="B4" s="1" t="s">
        <v>82</v>
      </c>
      <c r="D4" s="1" t="s">
        <v>139</v>
      </c>
    </row>
    <row r="5" spans="2:6">
      <c r="B5" s="1" t="s">
        <v>88</v>
      </c>
      <c r="D5" s="1" t="s">
        <v>34</v>
      </c>
    </row>
    <row r="6" spans="2:6">
      <c r="B6" s="1" t="s">
        <v>2</v>
      </c>
      <c r="D6" s="1" t="s">
        <v>212</v>
      </c>
    </row>
    <row r="7" spans="2:6">
      <c r="D7" s="1" t="s">
        <v>213</v>
      </c>
    </row>
    <row r="8" spans="2:6">
      <c r="D8" s="1" t="s">
        <v>26</v>
      </c>
    </row>
    <row r="14" spans="2:6">
      <c r="E14" s="1">
        <f>410000-409123</f>
        <v>877</v>
      </c>
      <c r="F14" s="1">
        <f>E14/4</f>
        <v>219.25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サマリー（入力禁止）</vt:lpstr>
      <vt:lpstr>数字丸め</vt:lpstr>
      <vt:lpstr>第一</vt:lpstr>
      <vt:lpstr>第一開発</vt:lpstr>
      <vt:lpstr>第ニ</vt:lpstr>
      <vt:lpstr>第ニ (CO)</vt:lpstr>
      <vt:lpstr>アプ開発</vt:lpstr>
      <vt:lpstr>シス基盤</vt:lpstr>
      <vt:lpstr>区分</vt:lpstr>
      <vt:lpstr>アプ開発!Print_Area</vt:lpstr>
      <vt:lpstr>'サマリー（入力禁止）'!Print_Area</vt:lpstr>
      <vt:lpstr>シス基盤!Print_Area</vt:lpstr>
      <vt:lpstr>数字丸め!Print_Area</vt:lpstr>
      <vt:lpstr>第一!Print_Area</vt:lpstr>
      <vt:lpstr>第一開発!Print_Area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Yukiko Niihara</dc:creator>
  <cp:lastModifiedBy>新原 昭彦</cp:lastModifiedBy>
  <dcterms:created xsi:type="dcterms:W3CDTF">2023-07-05T05:51:15Z</dcterms:created>
  <dcterms:modified xsi:type="dcterms:W3CDTF">2026-06-12T03:33:04Z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2023-07-21T01:12:59Z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b5ed97f6-2df7-49b4-bdca-c86ca24c8d5b</vt:lpwstr>
  </property>
  <property fmtid="{D5CDD505-2E9C-101B-9397-08002B2CF9AE}" pid="8" name="MSIP_Label_a7295cc1-d279-42ac-ab4d-3b0f4fece050_ContentBits">
    <vt:lpwstr>0</vt:lpwstr>
  </property>
</Properties>
</file>